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9c012c187bdca61/Desktop/Project/EXCEL/"/>
    </mc:Choice>
  </mc:AlternateContent>
  <xr:revisionPtr revIDLastSave="163" documentId="13_ncr:1_{081DF741-B74F-4A40-B752-B17056E4AE79}" xr6:coauthVersionLast="47" xr6:coauthVersionMax="47" xr10:uidLastSave="{0CF75D59-AFFA-42DC-ADB8-355EED46C056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Сводная Таблица" sheetId="6" r:id="rId3"/>
    <sheet name="График" sheetId="8" r:id="rId4"/>
  </sheets>
  <definedNames>
    <definedName name="_xlnm._FilterDatabase" localSheetId="0" hidden="1">Лист1!$A$1:$W$505</definedName>
    <definedName name="_xlnm._FilterDatabase" localSheetId="1" hidden="1">Лист2!$A$1:$E$505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3" i="1" a="1"/>
  <c r="E3" i="1" s="1"/>
  <c r="H3" i="1" s="1"/>
  <c r="E4" i="1" a="1"/>
  <c r="E4" i="1" s="1"/>
  <c r="H4" i="1" s="1"/>
  <c r="E5" i="1" a="1"/>
  <c r="E5" i="1" s="1"/>
  <c r="H5" i="1" s="1"/>
  <c r="E6" i="1" a="1"/>
  <c r="E6" i="1" s="1"/>
  <c r="H6" i="1" s="1"/>
  <c r="E7" i="1" a="1"/>
  <c r="E7" i="1" s="1"/>
  <c r="H7" i="1" s="1"/>
  <c r="E8" i="1" a="1"/>
  <c r="E8" i="1" s="1"/>
  <c r="H8" i="1" s="1"/>
  <c r="E9" i="1" a="1"/>
  <c r="E9" i="1" s="1"/>
  <c r="H9" i="1" s="1"/>
  <c r="E10" i="1" a="1"/>
  <c r="E10" i="1" s="1"/>
  <c r="H10" i="1" s="1"/>
  <c r="E11" i="1" a="1"/>
  <c r="E11" i="1" s="1"/>
  <c r="H11" i="1" s="1"/>
  <c r="E12" i="1" a="1"/>
  <c r="E12" i="1" s="1"/>
  <c r="H12" i="1" s="1"/>
  <c r="E13" i="1" a="1"/>
  <c r="E13" i="1" s="1"/>
  <c r="H13" i="1" s="1"/>
  <c r="E14" i="1" a="1"/>
  <c r="E14" i="1" s="1"/>
  <c r="H14" i="1" s="1"/>
  <c r="E15" i="1" a="1"/>
  <c r="E15" i="1" s="1"/>
  <c r="H15" i="1" s="1"/>
  <c r="E16" i="1" a="1"/>
  <c r="E16" i="1" s="1"/>
  <c r="H16" i="1" s="1"/>
  <c r="E17" i="1" a="1"/>
  <c r="E17" i="1" s="1"/>
  <c r="H17" i="1" s="1"/>
  <c r="E18" i="1" a="1"/>
  <c r="E18" i="1" s="1"/>
  <c r="H18" i="1" s="1"/>
  <c r="E19" i="1" a="1"/>
  <c r="E19" i="1" s="1"/>
  <c r="H19" i="1" s="1"/>
  <c r="E20" i="1" a="1"/>
  <c r="E20" i="1" s="1"/>
  <c r="H20" i="1" s="1"/>
  <c r="E21" i="1" a="1"/>
  <c r="E21" i="1" s="1"/>
  <c r="H21" i="1" s="1"/>
  <c r="E22" i="1" a="1"/>
  <c r="E22" i="1" s="1"/>
  <c r="H22" i="1" s="1"/>
  <c r="E23" i="1" a="1"/>
  <c r="E23" i="1" s="1"/>
  <c r="H23" i="1" s="1"/>
  <c r="E24" i="1" a="1"/>
  <c r="E24" i="1" s="1"/>
  <c r="H24" i="1" s="1"/>
  <c r="E25" i="1" a="1"/>
  <c r="E25" i="1" s="1"/>
  <c r="H25" i="1" s="1"/>
  <c r="E26" i="1" a="1"/>
  <c r="E26" i="1" s="1"/>
  <c r="H26" i="1" s="1"/>
  <c r="E27" i="1" a="1"/>
  <c r="E27" i="1" s="1"/>
  <c r="H27" i="1" s="1"/>
  <c r="E28" i="1" a="1"/>
  <c r="E28" i="1" s="1"/>
  <c r="H28" i="1" s="1"/>
  <c r="E29" i="1" a="1"/>
  <c r="E29" i="1" s="1"/>
  <c r="H29" i="1" s="1"/>
  <c r="E30" i="1" a="1"/>
  <c r="E30" i="1" s="1"/>
  <c r="H30" i="1" s="1"/>
  <c r="E31" i="1" a="1"/>
  <c r="E31" i="1" s="1"/>
  <c r="H31" i="1" s="1"/>
  <c r="E32" i="1" a="1"/>
  <c r="E32" i="1" s="1"/>
  <c r="H32" i="1" s="1"/>
  <c r="E33" i="1" a="1"/>
  <c r="E33" i="1" s="1"/>
  <c r="H33" i="1" s="1"/>
  <c r="E34" i="1" a="1"/>
  <c r="E34" i="1" s="1"/>
  <c r="H34" i="1" s="1"/>
  <c r="E35" i="1" a="1"/>
  <c r="E35" i="1" s="1"/>
  <c r="H35" i="1" s="1"/>
  <c r="E36" i="1" a="1"/>
  <c r="E36" i="1" s="1"/>
  <c r="H36" i="1" s="1"/>
  <c r="E37" i="1" a="1"/>
  <c r="E37" i="1" s="1"/>
  <c r="H37" i="1" s="1"/>
  <c r="E38" i="1" a="1"/>
  <c r="E38" i="1" s="1"/>
  <c r="H38" i="1" s="1"/>
  <c r="E39" i="1" a="1"/>
  <c r="E39" i="1" s="1"/>
  <c r="H39" i="1" s="1"/>
  <c r="E40" i="1" a="1"/>
  <c r="E40" i="1" s="1"/>
  <c r="H40" i="1" s="1"/>
  <c r="E41" i="1" a="1"/>
  <c r="E41" i="1" s="1"/>
  <c r="H41" i="1" s="1"/>
  <c r="E42" i="1" a="1"/>
  <c r="E42" i="1" s="1"/>
  <c r="H42" i="1" s="1"/>
  <c r="E43" i="1" a="1"/>
  <c r="E43" i="1" s="1"/>
  <c r="H43" i="1" s="1"/>
  <c r="E44" i="1" a="1"/>
  <c r="E44" i="1" s="1"/>
  <c r="H44" i="1" s="1"/>
  <c r="E45" i="1" a="1"/>
  <c r="E45" i="1" s="1"/>
  <c r="H45" i="1" s="1"/>
  <c r="E46" i="1" a="1"/>
  <c r="E46" i="1" s="1"/>
  <c r="H46" i="1" s="1"/>
  <c r="E47" i="1" a="1"/>
  <c r="E47" i="1" s="1"/>
  <c r="H47" i="1" s="1"/>
  <c r="E48" i="1" a="1"/>
  <c r="E48" i="1" s="1"/>
  <c r="H48" i="1" s="1"/>
  <c r="E49" i="1" a="1"/>
  <c r="E49" i="1" s="1"/>
  <c r="H49" i="1" s="1"/>
  <c r="E50" i="1" a="1"/>
  <c r="E50" i="1" s="1"/>
  <c r="H50" i="1" s="1"/>
  <c r="E51" i="1" a="1"/>
  <c r="E51" i="1" s="1"/>
  <c r="H51" i="1" s="1"/>
  <c r="E52" i="1" a="1"/>
  <c r="E52" i="1" s="1"/>
  <c r="H52" i="1" s="1"/>
  <c r="E53" i="1" a="1"/>
  <c r="E53" i="1" s="1"/>
  <c r="H53" i="1" s="1"/>
  <c r="E54" i="1" a="1"/>
  <c r="E54" i="1" s="1"/>
  <c r="H54" i="1" s="1"/>
  <c r="E55" i="1" a="1"/>
  <c r="E55" i="1" s="1"/>
  <c r="H55" i="1" s="1"/>
  <c r="E56" i="1" a="1"/>
  <c r="E56" i="1" s="1"/>
  <c r="H56" i="1" s="1"/>
  <c r="E57" i="1" a="1"/>
  <c r="E57" i="1" s="1"/>
  <c r="H57" i="1" s="1"/>
  <c r="E58" i="1" a="1"/>
  <c r="E58" i="1" s="1"/>
  <c r="H58" i="1" s="1"/>
  <c r="E59" i="1" a="1"/>
  <c r="E59" i="1" s="1"/>
  <c r="H59" i="1" s="1"/>
  <c r="E60" i="1" a="1"/>
  <c r="E60" i="1" s="1"/>
  <c r="H60" i="1" s="1"/>
  <c r="E61" i="1" a="1"/>
  <c r="E61" i="1" s="1"/>
  <c r="H61" i="1" s="1"/>
  <c r="E62" i="1" a="1"/>
  <c r="E62" i="1" s="1"/>
  <c r="H62" i="1" s="1"/>
  <c r="E63" i="1" a="1"/>
  <c r="E63" i="1" s="1"/>
  <c r="H63" i="1" s="1"/>
  <c r="E64" i="1" a="1"/>
  <c r="E64" i="1" s="1"/>
  <c r="H64" i="1" s="1"/>
  <c r="E65" i="1" a="1"/>
  <c r="E65" i="1" s="1"/>
  <c r="H65" i="1" s="1"/>
  <c r="E66" i="1" a="1"/>
  <c r="E66" i="1" s="1"/>
  <c r="H66" i="1" s="1"/>
  <c r="E67" i="1" a="1"/>
  <c r="E67" i="1" s="1"/>
  <c r="H67" i="1" s="1"/>
  <c r="E68" i="1" a="1"/>
  <c r="E68" i="1" s="1"/>
  <c r="H68" i="1" s="1"/>
  <c r="E69" i="1" a="1"/>
  <c r="E69" i="1" s="1"/>
  <c r="H69" i="1" s="1"/>
  <c r="E70" i="1" a="1"/>
  <c r="E70" i="1" s="1"/>
  <c r="H70" i="1" s="1"/>
  <c r="E71" i="1" a="1"/>
  <c r="E71" i="1" s="1"/>
  <c r="H71" i="1" s="1"/>
  <c r="E72" i="1" a="1"/>
  <c r="E72" i="1" s="1"/>
  <c r="H72" i="1" s="1"/>
  <c r="E73" i="1" a="1"/>
  <c r="E73" i="1" s="1"/>
  <c r="H73" i="1" s="1"/>
  <c r="E74" i="1" a="1"/>
  <c r="E74" i="1" s="1"/>
  <c r="H74" i="1" s="1"/>
  <c r="E75" i="1" a="1"/>
  <c r="E75" i="1" s="1"/>
  <c r="H75" i="1" s="1"/>
  <c r="E76" i="1" a="1"/>
  <c r="E76" i="1" s="1"/>
  <c r="H76" i="1" s="1"/>
  <c r="E77" i="1" a="1"/>
  <c r="E77" i="1" s="1"/>
  <c r="H77" i="1" s="1"/>
  <c r="E78" i="1" a="1"/>
  <c r="E78" i="1" s="1"/>
  <c r="H78" i="1" s="1"/>
  <c r="E79" i="1" a="1"/>
  <c r="E79" i="1" s="1"/>
  <c r="H79" i="1" s="1"/>
  <c r="E80" i="1" a="1"/>
  <c r="E80" i="1" s="1"/>
  <c r="H80" i="1" s="1"/>
  <c r="E81" i="1" a="1"/>
  <c r="E81" i="1" s="1"/>
  <c r="H81" i="1" s="1"/>
  <c r="E82" i="1" a="1"/>
  <c r="E82" i="1" s="1"/>
  <c r="H82" i="1" s="1"/>
  <c r="E83" i="1" a="1"/>
  <c r="E83" i="1" s="1"/>
  <c r="H83" i="1" s="1"/>
  <c r="E84" i="1" a="1"/>
  <c r="E84" i="1" s="1"/>
  <c r="H84" i="1" s="1"/>
  <c r="E85" i="1" a="1"/>
  <c r="E85" i="1" s="1"/>
  <c r="H85" i="1" s="1"/>
  <c r="E86" i="1" a="1"/>
  <c r="E86" i="1" s="1"/>
  <c r="H86" i="1" s="1"/>
  <c r="E87" i="1" a="1"/>
  <c r="E87" i="1" s="1"/>
  <c r="H87" i="1" s="1"/>
  <c r="E88" i="1" a="1"/>
  <c r="E88" i="1" s="1"/>
  <c r="H88" i="1" s="1"/>
  <c r="E89" i="1" a="1"/>
  <c r="E89" i="1" s="1"/>
  <c r="H89" i="1" s="1"/>
  <c r="E90" i="1" a="1"/>
  <c r="E90" i="1" s="1"/>
  <c r="H90" i="1" s="1"/>
  <c r="E91" i="1" a="1"/>
  <c r="E91" i="1" s="1"/>
  <c r="H91" i="1" s="1"/>
  <c r="E92" i="1" a="1"/>
  <c r="E92" i="1" s="1"/>
  <c r="H92" i="1" s="1"/>
  <c r="E93" i="1" a="1"/>
  <c r="E93" i="1" s="1"/>
  <c r="H93" i="1" s="1"/>
  <c r="E94" i="1" a="1"/>
  <c r="E94" i="1" s="1"/>
  <c r="H94" i="1" s="1"/>
  <c r="E95" i="1" a="1"/>
  <c r="E95" i="1" s="1"/>
  <c r="H95" i="1" s="1"/>
  <c r="E96" i="1" a="1"/>
  <c r="E96" i="1" s="1"/>
  <c r="H96" i="1" s="1"/>
  <c r="E97" i="1" a="1"/>
  <c r="E97" i="1" s="1"/>
  <c r="H97" i="1" s="1"/>
  <c r="E98" i="1" a="1"/>
  <c r="E98" i="1" s="1"/>
  <c r="H98" i="1" s="1"/>
  <c r="E99" i="1" a="1"/>
  <c r="E99" i="1" s="1"/>
  <c r="H99" i="1" s="1"/>
  <c r="E100" i="1" a="1"/>
  <c r="E100" i="1" s="1"/>
  <c r="H100" i="1" s="1"/>
  <c r="E101" i="1" a="1"/>
  <c r="E101" i="1" s="1"/>
  <c r="H101" i="1" s="1"/>
  <c r="E102" i="1" a="1"/>
  <c r="E102" i="1" s="1"/>
  <c r="H102" i="1" s="1"/>
  <c r="E103" i="1" a="1"/>
  <c r="E103" i="1" s="1"/>
  <c r="H103" i="1" s="1"/>
  <c r="E104" i="1" a="1"/>
  <c r="E104" i="1" s="1"/>
  <c r="H104" i="1" s="1"/>
  <c r="E105" i="1" a="1"/>
  <c r="E105" i="1" s="1"/>
  <c r="H105" i="1" s="1"/>
  <c r="E106" i="1" a="1"/>
  <c r="E106" i="1" s="1"/>
  <c r="H106" i="1" s="1"/>
  <c r="E107" i="1" a="1"/>
  <c r="E107" i="1" s="1"/>
  <c r="H107" i="1" s="1"/>
  <c r="E108" i="1" a="1"/>
  <c r="E108" i="1" s="1"/>
  <c r="H108" i="1" s="1"/>
  <c r="E109" i="1" a="1"/>
  <c r="E109" i="1" s="1"/>
  <c r="H109" i="1" s="1"/>
  <c r="E110" i="1" a="1"/>
  <c r="E110" i="1" s="1"/>
  <c r="H110" i="1" s="1"/>
  <c r="E111" i="1" a="1"/>
  <c r="E111" i="1" s="1"/>
  <c r="H111" i="1" s="1"/>
  <c r="E112" i="1" a="1"/>
  <c r="E112" i="1" s="1"/>
  <c r="H112" i="1" s="1"/>
  <c r="E113" i="1" a="1"/>
  <c r="E113" i="1" s="1"/>
  <c r="H113" i="1" s="1"/>
  <c r="E114" i="1" a="1"/>
  <c r="E114" i="1" s="1"/>
  <c r="H114" i="1" s="1"/>
  <c r="E115" i="1" a="1"/>
  <c r="E115" i="1" s="1"/>
  <c r="H115" i="1" s="1"/>
  <c r="E116" i="1" a="1"/>
  <c r="E116" i="1" s="1"/>
  <c r="H116" i="1" s="1"/>
  <c r="E117" i="1" a="1"/>
  <c r="E117" i="1" s="1"/>
  <c r="H117" i="1" s="1"/>
  <c r="E118" i="1" a="1"/>
  <c r="E118" i="1" s="1"/>
  <c r="H118" i="1" s="1"/>
  <c r="E119" i="1" a="1"/>
  <c r="E119" i="1" s="1"/>
  <c r="H119" i="1" s="1"/>
  <c r="E120" i="1" a="1"/>
  <c r="E120" i="1" s="1"/>
  <c r="H120" i="1" s="1"/>
  <c r="E121" i="1" a="1"/>
  <c r="E121" i="1" s="1"/>
  <c r="H121" i="1" s="1"/>
  <c r="E122" i="1" a="1"/>
  <c r="E122" i="1" s="1"/>
  <c r="H122" i="1" s="1"/>
  <c r="E123" i="1" a="1"/>
  <c r="E123" i="1" s="1"/>
  <c r="H123" i="1" s="1"/>
  <c r="E124" i="1" a="1"/>
  <c r="E124" i="1" s="1"/>
  <c r="H124" i="1" s="1"/>
  <c r="E125" i="1" a="1"/>
  <c r="E125" i="1" s="1"/>
  <c r="H125" i="1" s="1"/>
  <c r="E126" i="1" a="1"/>
  <c r="E126" i="1" s="1"/>
  <c r="H126" i="1" s="1"/>
  <c r="E127" i="1" a="1"/>
  <c r="E127" i="1" s="1"/>
  <c r="H127" i="1" s="1"/>
  <c r="E128" i="1" a="1"/>
  <c r="E128" i="1" s="1"/>
  <c r="H128" i="1" s="1"/>
  <c r="E129" i="1" a="1"/>
  <c r="E129" i="1" s="1"/>
  <c r="H129" i="1" s="1"/>
  <c r="E130" i="1" a="1"/>
  <c r="E130" i="1" s="1"/>
  <c r="H130" i="1" s="1"/>
  <c r="E131" i="1" a="1"/>
  <c r="E131" i="1" s="1"/>
  <c r="H131" i="1" s="1"/>
  <c r="E132" i="1" a="1"/>
  <c r="E132" i="1" s="1"/>
  <c r="H132" i="1" s="1"/>
  <c r="E133" i="1" a="1"/>
  <c r="E133" i="1" s="1"/>
  <c r="H133" i="1" s="1"/>
  <c r="E134" i="1" a="1"/>
  <c r="E134" i="1" s="1"/>
  <c r="H134" i="1" s="1"/>
  <c r="E135" i="1" a="1"/>
  <c r="E135" i="1" s="1"/>
  <c r="H135" i="1" s="1"/>
  <c r="E136" i="1" a="1"/>
  <c r="E136" i="1" s="1"/>
  <c r="H136" i="1" s="1"/>
  <c r="E137" i="1" a="1"/>
  <c r="E137" i="1" s="1"/>
  <c r="H137" i="1" s="1"/>
  <c r="E138" i="1" a="1"/>
  <c r="E138" i="1" s="1"/>
  <c r="H138" i="1" s="1"/>
  <c r="E139" i="1" a="1"/>
  <c r="E139" i="1" s="1"/>
  <c r="H139" i="1" s="1"/>
  <c r="E140" i="1" a="1"/>
  <c r="E140" i="1" s="1"/>
  <c r="H140" i="1" s="1"/>
  <c r="E141" i="1" a="1"/>
  <c r="E141" i="1" s="1"/>
  <c r="H141" i="1" s="1"/>
  <c r="E142" i="1" a="1"/>
  <c r="E142" i="1" s="1"/>
  <c r="H142" i="1" s="1"/>
  <c r="E143" i="1" a="1"/>
  <c r="E143" i="1" s="1"/>
  <c r="H143" i="1" s="1"/>
  <c r="E144" i="1" a="1"/>
  <c r="E144" i="1" s="1"/>
  <c r="H144" i="1" s="1"/>
  <c r="E145" i="1" a="1"/>
  <c r="E145" i="1" s="1"/>
  <c r="H145" i="1" s="1"/>
  <c r="E146" i="1" a="1"/>
  <c r="E146" i="1" s="1"/>
  <c r="H146" i="1" s="1"/>
  <c r="E147" i="1" a="1"/>
  <c r="E147" i="1" s="1"/>
  <c r="H147" i="1" s="1"/>
  <c r="E148" i="1" a="1"/>
  <c r="E148" i="1" s="1"/>
  <c r="H148" i="1" s="1"/>
  <c r="E149" i="1" a="1"/>
  <c r="E149" i="1" s="1"/>
  <c r="H149" i="1" s="1"/>
  <c r="E150" i="1" a="1"/>
  <c r="E150" i="1" s="1"/>
  <c r="H150" i="1" s="1"/>
  <c r="E151" i="1" a="1"/>
  <c r="E151" i="1" s="1"/>
  <c r="H151" i="1" s="1"/>
  <c r="E152" i="1" a="1"/>
  <c r="E152" i="1" s="1"/>
  <c r="H152" i="1" s="1"/>
  <c r="E153" i="1" a="1"/>
  <c r="E153" i="1" s="1"/>
  <c r="H153" i="1" s="1"/>
  <c r="E154" i="1" a="1"/>
  <c r="E154" i="1" s="1"/>
  <c r="H154" i="1" s="1"/>
  <c r="E155" i="1" a="1"/>
  <c r="E155" i="1" s="1"/>
  <c r="H155" i="1" s="1"/>
  <c r="E156" i="1" a="1"/>
  <c r="E156" i="1" s="1"/>
  <c r="H156" i="1" s="1"/>
  <c r="E157" i="1" a="1"/>
  <c r="E157" i="1" s="1"/>
  <c r="H157" i="1" s="1"/>
  <c r="E158" i="1" a="1"/>
  <c r="E158" i="1" s="1"/>
  <c r="H158" i="1" s="1"/>
  <c r="E159" i="1" a="1"/>
  <c r="E159" i="1" s="1"/>
  <c r="H159" i="1" s="1"/>
  <c r="E160" i="1" a="1"/>
  <c r="E160" i="1" s="1"/>
  <c r="H160" i="1" s="1"/>
  <c r="E161" i="1" a="1"/>
  <c r="E161" i="1" s="1"/>
  <c r="H161" i="1" s="1"/>
  <c r="E162" i="1" a="1"/>
  <c r="E162" i="1" s="1"/>
  <c r="H162" i="1" s="1"/>
  <c r="E163" i="1" a="1"/>
  <c r="E163" i="1" s="1"/>
  <c r="H163" i="1" s="1"/>
  <c r="E164" i="1" a="1"/>
  <c r="E164" i="1" s="1"/>
  <c r="H164" i="1" s="1"/>
  <c r="E165" i="1" a="1"/>
  <c r="E165" i="1" s="1"/>
  <c r="H165" i="1" s="1"/>
  <c r="E166" i="1" a="1"/>
  <c r="E166" i="1" s="1"/>
  <c r="H166" i="1" s="1"/>
  <c r="E167" i="1" a="1"/>
  <c r="E167" i="1" s="1"/>
  <c r="H167" i="1" s="1"/>
  <c r="E168" i="1" a="1"/>
  <c r="E168" i="1" s="1"/>
  <c r="H168" i="1" s="1"/>
  <c r="E169" i="1" a="1"/>
  <c r="E169" i="1" s="1"/>
  <c r="H169" i="1" s="1"/>
  <c r="E170" i="1" a="1"/>
  <c r="E170" i="1" s="1"/>
  <c r="H170" i="1" s="1"/>
  <c r="E171" i="1" a="1"/>
  <c r="E171" i="1" s="1"/>
  <c r="H171" i="1" s="1"/>
  <c r="E172" i="1" a="1"/>
  <c r="E172" i="1" s="1"/>
  <c r="H172" i="1" s="1"/>
  <c r="E173" i="1" a="1"/>
  <c r="E173" i="1" s="1"/>
  <c r="H173" i="1" s="1"/>
  <c r="E174" i="1" a="1"/>
  <c r="E174" i="1" s="1"/>
  <c r="H174" i="1" s="1"/>
  <c r="E175" i="1" a="1"/>
  <c r="E175" i="1" s="1"/>
  <c r="H175" i="1" s="1"/>
  <c r="E176" i="1" a="1"/>
  <c r="E176" i="1" s="1"/>
  <c r="H176" i="1" s="1"/>
  <c r="E177" i="1" a="1"/>
  <c r="E177" i="1" s="1"/>
  <c r="H177" i="1" s="1"/>
  <c r="E178" i="1" a="1"/>
  <c r="E178" i="1" s="1"/>
  <c r="H178" i="1" s="1"/>
  <c r="E179" i="1" a="1"/>
  <c r="E179" i="1" s="1"/>
  <c r="H179" i="1" s="1"/>
  <c r="E180" i="1" a="1"/>
  <c r="E180" i="1" s="1"/>
  <c r="H180" i="1" s="1"/>
  <c r="E181" i="1" a="1"/>
  <c r="E181" i="1" s="1"/>
  <c r="H181" i="1" s="1"/>
  <c r="E182" i="1" a="1"/>
  <c r="E182" i="1" s="1"/>
  <c r="H182" i="1" s="1"/>
  <c r="E183" i="1" a="1"/>
  <c r="E183" i="1" s="1"/>
  <c r="H183" i="1" s="1"/>
  <c r="E184" i="1" a="1"/>
  <c r="E184" i="1" s="1"/>
  <c r="H184" i="1" s="1"/>
  <c r="E185" i="1" a="1"/>
  <c r="E185" i="1" s="1"/>
  <c r="H185" i="1" s="1"/>
  <c r="E186" i="1" a="1"/>
  <c r="E186" i="1" s="1"/>
  <c r="H186" i="1" s="1"/>
  <c r="E187" i="1" a="1"/>
  <c r="E187" i="1" s="1"/>
  <c r="H187" i="1" s="1"/>
  <c r="E188" i="1" a="1"/>
  <c r="E188" i="1" s="1"/>
  <c r="H188" i="1" s="1"/>
  <c r="E189" i="1" a="1"/>
  <c r="E189" i="1" s="1"/>
  <c r="H189" i="1" s="1"/>
  <c r="E190" i="1" a="1"/>
  <c r="E190" i="1" s="1"/>
  <c r="H190" i="1" s="1"/>
  <c r="E191" i="1" a="1"/>
  <c r="E191" i="1" s="1"/>
  <c r="H191" i="1" s="1"/>
  <c r="E192" i="1" a="1"/>
  <c r="E192" i="1" s="1"/>
  <c r="H192" i="1" s="1"/>
  <c r="E193" i="1" a="1"/>
  <c r="E193" i="1" s="1"/>
  <c r="H193" i="1" s="1"/>
  <c r="E194" i="1" a="1"/>
  <c r="E194" i="1" s="1"/>
  <c r="H194" i="1" s="1"/>
  <c r="E195" i="1" a="1"/>
  <c r="E195" i="1" s="1"/>
  <c r="H195" i="1" s="1"/>
  <c r="E196" i="1" a="1"/>
  <c r="E196" i="1" s="1"/>
  <c r="H196" i="1" s="1"/>
  <c r="E197" i="1" a="1"/>
  <c r="E197" i="1" s="1"/>
  <c r="H197" i="1" s="1"/>
  <c r="E198" i="1" a="1"/>
  <c r="E198" i="1" s="1"/>
  <c r="H198" i="1" s="1"/>
  <c r="E199" i="1" a="1"/>
  <c r="E199" i="1" s="1"/>
  <c r="H199" i="1" s="1"/>
  <c r="E200" i="1" a="1"/>
  <c r="E200" i="1" s="1"/>
  <c r="H200" i="1" s="1"/>
  <c r="E201" i="1" a="1"/>
  <c r="E201" i="1" s="1"/>
  <c r="H201" i="1" s="1"/>
  <c r="E202" i="1" a="1"/>
  <c r="E202" i="1" s="1"/>
  <c r="H202" i="1" s="1"/>
  <c r="E203" i="1" a="1"/>
  <c r="E203" i="1" s="1"/>
  <c r="H203" i="1" s="1"/>
  <c r="E204" i="1" a="1"/>
  <c r="E204" i="1" s="1"/>
  <c r="H204" i="1" s="1"/>
  <c r="E205" i="1" a="1"/>
  <c r="E205" i="1" s="1"/>
  <c r="H205" i="1" s="1"/>
  <c r="E206" i="1" a="1"/>
  <c r="E206" i="1" s="1"/>
  <c r="H206" i="1" s="1"/>
  <c r="E207" i="1" a="1"/>
  <c r="E207" i="1" s="1"/>
  <c r="H207" i="1" s="1"/>
  <c r="E208" i="1" a="1"/>
  <c r="E208" i="1" s="1"/>
  <c r="H208" i="1" s="1"/>
  <c r="E209" i="1" a="1"/>
  <c r="E209" i="1" s="1"/>
  <c r="H209" i="1" s="1"/>
  <c r="E210" i="1" a="1"/>
  <c r="E210" i="1" s="1"/>
  <c r="H210" i="1" s="1"/>
  <c r="E211" i="1" a="1"/>
  <c r="E211" i="1" s="1"/>
  <c r="H211" i="1" s="1"/>
  <c r="E212" i="1" a="1"/>
  <c r="E212" i="1" s="1"/>
  <c r="H212" i="1" s="1"/>
  <c r="E213" i="1" a="1"/>
  <c r="E213" i="1" s="1"/>
  <c r="H213" i="1" s="1"/>
  <c r="E214" i="1" a="1"/>
  <c r="E214" i="1" s="1"/>
  <c r="H214" i="1" s="1"/>
  <c r="E215" i="1" a="1"/>
  <c r="E215" i="1" s="1"/>
  <c r="H215" i="1" s="1"/>
  <c r="E216" i="1" a="1"/>
  <c r="E216" i="1" s="1"/>
  <c r="H216" i="1" s="1"/>
  <c r="E217" i="1" a="1"/>
  <c r="E217" i="1" s="1"/>
  <c r="H217" i="1" s="1"/>
  <c r="E218" i="1" a="1"/>
  <c r="E218" i="1" s="1"/>
  <c r="H218" i="1" s="1"/>
  <c r="E219" i="1" a="1"/>
  <c r="E219" i="1" s="1"/>
  <c r="H219" i="1" s="1"/>
  <c r="E220" i="1" a="1"/>
  <c r="E220" i="1" s="1"/>
  <c r="H220" i="1" s="1"/>
  <c r="E221" i="1" a="1"/>
  <c r="E221" i="1" s="1"/>
  <c r="H221" i="1" s="1"/>
  <c r="E222" i="1" a="1"/>
  <c r="E222" i="1" s="1"/>
  <c r="H222" i="1" s="1"/>
  <c r="E223" i="1" a="1"/>
  <c r="E223" i="1" s="1"/>
  <c r="H223" i="1" s="1"/>
  <c r="E224" i="1" a="1"/>
  <c r="E224" i="1" s="1"/>
  <c r="H224" i="1" s="1"/>
  <c r="E225" i="1" a="1"/>
  <c r="E225" i="1" s="1"/>
  <c r="H225" i="1" s="1"/>
  <c r="E226" i="1" a="1"/>
  <c r="E226" i="1" s="1"/>
  <c r="H226" i="1" s="1"/>
  <c r="E227" i="1" a="1"/>
  <c r="E227" i="1" s="1"/>
  <c r="H227" i="1" s="1"/>
  <c r="E228" i="1" a="1"/>
  <c r="E228" i="1" s="1"/>
  <c r="H228" i="1" s="1"/>
  <c r="E229" i="1" a="1"/>
  <c r="E229" i="1" s="1"/>
  <c r="H229" i="1" s="1"/>
  <c r="E230" i="1" a="1"/>
  <c r="E230" i="1" s="1"/>
  <c r="H230" i="1" s="1"/>
  <c r="E231" i="1" a="1"/>
  <c r="E231" i="1" s="1"/>
  <c r="H231" i="1" s="1"/>
  <c r="E232" i="1" a="1"/>
  <c r="E232" i="1" s="1"/>
  <c r="H232" i="1" s="1"/>
  <c r="E233" i="1" a="1"/>
  <c r="E233" i="1" s="1"/>
  <c r="H233" i="1" s="1"/>
  <c r="E234" i="1" a="1"/>
  <c r="E234" i="1" s="1"/>
  <c r="H234" i="1" s="1"/>
  <c r="E235" i="1" a="1"/>
  <c r="E235" i="1" s="1"/>
  <c r="H235" i="1" s="1"/>
  <c r="E236" i="1" a="1"/>
  <c r="E236" i="1" s="1"/>
  <c r="H236" i="1" s="1"/>
  <c r="E237" i="1" a="1"/>
  <c r="E237" i="1" s="1"/>
  <c r="H237" i="1" s="1"/>
  <c r="E238" i="1" a="1"/>
  <c r="E238" i="1" s="1"/>
  <c r="H238" i="1" s="1"/>
  <c r="E239" i="1" a="1"/>
  <c r="E239" i="1" s="1"/>
  <c r="H239" i="1" s="1"/>
  <c r="E240" i="1" a="1"/>
  <c r="E240" i="1" s="1"/>
  <c r="H240" i="1" s="1"/>
  <c r="E241" i="1" a="1"/>
  <c r="E241" i="1" s="1"/>
  <c r="H241" i="1" s="1"/>
  <c r="E242" i="1" a="1"/>
  <c r="E242" i="1" s="1"/>
  <c r="H242" i="1" s="1"/>
  <c r="E243" i="1" a="1"/>
  <c r="E243" i="1" s="1"/>
  <c r="H243" i="1" s="1"/>
  <c r="E244" i="1" a="1"/>
  <c r="E244" i="1" s="1"/>
  <c r="H244" i="1" s="1"/>
  <c r="E245" i="1" a="1"/>
  <c r="E245" i="1" s="1"/>
  <c r="H245" i="1" s="1"/>
  <c r="E246" i="1" a="1"/>
  <c r="E246" i="1" s="1"/>
  <c r="H246" i="1" s="1"/>
  <c r="E247" i="1" a="1"/>
  <c r="E247" i="1" s="1"/>
  <c r="H247" i="1" s="1"/>
  <c r="E248" i="1" a="1"/>
  <c r="E248" i="1" s="1"/>
  <c r="H248" i="1" s="1"/>
  <c r="E249" i="1" a="1"/>
  <c r="E249" i="1" s="1"/>
  <c r="H249" i="1" s="1"/>
  <c r="E250" i="1" a="1"/>
  <c r="E250" i="1" s="1"/>
  <c r="H250" i="1" s="1"/>
  <c r="E251" i="1" a="1"/>
  <c r="E251" i="1" s="1"/>
  <c r="H251" i="1" s="1"/>
  <c r="E252" i="1" a="1"/>
  <c r="E252" i="1" s="1"/>
  <c r="H252" i="1" s="1"/>
  <c r="E253" i="1" a="1"/>
  <c r="E253" i="1" s="1"/>
  <c r="H253" i="1" s="1"/>
  <c r="E254" i="1" a="1"/>
  <c r="E254" i="1" s="1"/>
  <c r="H254" i="1" s="1"/>
  <c r="E255" i="1" a="1"/>
  <c r="E255" i="1" s="1"/>
  <c r="H255" i="1" s="1"/>
  <c r="E256" i="1" a="1"/>
  <c r="E256" i="1" s="1"/>
  <c r="H256" i="1" s="1"/>
  <c r="E257" i="1" a="1"/>
  <c r="E257" i="1" s="1"/>
  <c r="H257" i="1" s="1"/>
  <c r="E258" i="1" a="1"/>
  <c r="E258" i="1" s="1"/>
  <c r="H258" i="1" s="1"/>
  <c r="E259" i="1" a="1"/>
  <c r="E259" i="1" s="1"/>
  <c r="H259" i="1" s="1"/>
  <c r="E260" i="1" a="1"/>
  <c r="E260" i="1" s="1"/>
  <c r="H260" i="1" s="1"/>
  <c r="E261" i="1" a="1"/>
  <c r="E261" i="1" s="1"/>
  <c r="H261" i="1" s="1"/>
  <c r="E262" i="1" a="1"/>
  <c r="E262" i="1" s="1"/>
  <c r="H262" i="1" s="1"/>
  <c r="E263" i="1" a="1"/>
  <c r="E263" i="1" s="1"/>
  <c r="H263" i="1" s="1"/>
  <c r="E264" i="1" a="1"/>
  <c r="E264" i="1" s="1"/>
  <c r="H264" i="1" s="1"/>
  <c r="E265" i="1" a="1"/>
  <c r="E265" i="1" s="1"/>
  <c r="H265" i="1" s="1"/>
  <c r="E266" i="1" a="1"/>
  <c r="E266" i="1" s="1"/>
  <c r="H266" i="1" s="1"/>
  <c r="E267" i="1" a="1"/>
  <c r="E267" i="1" s="1"/>
  <c r="H267" i="1" s="1"/>
  <c r="E268" i="1" a="1"/>
  <c r="E268" i="1" s="1"/>
  <c r="H268" i="1" s="1"/>
  <c r="E269" i="1" a="1"/>
  <c r="E269" i="1" s="1"/>
  <c r="H269" i="1" s="1"/>
  <c r="E270" i="1" a="1"/>
  <c r="E270" i="1" s="1"/>
  <c r="H270" i="1" s="1"/>
  <c r="E271" i="1" a="1"/>
  <c r="E271" i="1" s="1"/>
  <c r="H271" i="1" s="1"/>
  <c r="E272" i="1" a="1"/>
  <c r="E272" i="1" s="1"/>
  <c r="H272" i="1" s="1"/>
  <c r="E273" i="1" a="1"/>
  <c r="E273" i="1" s="1"/>
  <c r="H273" i="1" s="1"/>
  <c r="E274" i="1" a="1"/>
  <c r="E274" i="1" s="1"/>
  <c r="H274" i="1" s="1"/>
  <c r="E275" i="1" a="1"/>
  <c r="E275" i="1" s="1"/>
  <c r="H275" i="1" s="1"/>
  <c r="E276" i="1" a="1"/>
  <c r="E276" i="1" s="1"/>
  <c r="H276" i="1" s="1"/>
  <c r="E277" i="1" a="1"/>
  <c r="E277" i="1" s="1"/>
  <c r="H277" i="1" s="1"/>
  <c r="E278" i="1" a="1"/>
  <c r="E278" i="1" s="1"/>
  <c r="H278" i="1" s="1"/>
  <c r="E279" i="1" a="1"/>
  <c r="E279" i="1" s="1"/>
  <c r="H279" i="1" s="1"/>
  <c r="E280" i="1" a="1"/>
  <c r="E280" i="1" s="1"/>
  <c r="H280" i="1" s="1"/>
  <c r="E281" i="1" a="1"/>
  <c r="E281" i="1" s="1"/>
  <c r="H281" i="1" s="1"/>
  <c r="E282" i="1" a="1"/>
  <c r="E282" i="1" s="1"/>
  <c r="H282" i="1" s="1"/>
  <c r="E283" i="1" a="1"/>
  <c r="E283" i="1" s="1"/>
  <c r="H283" i="1" s="1"/>
  <c r="E284" i="1" a="1"/>
  <c r="E284" i="1" s="1"/>
  <c r="H284" i="1" s="1"/>
  <c r="E285" i="1" a="1"/>
  <c r="E285" i="1" s="1"/>
  <c r="H285" i="1" s="1"/>
  <c r="E286" i="1" a="1"/>
  <c r="E286" i="1" s="1"/>
  <c r="H286" i="1" s="1"/>
  <c r="E287" i="1" a="1"/>
  <c r="E287" i="1" s="1"/>
  <c r="H287" i="1" s="1"/>
  <c r="E288" i="1" a="1"/>
  <c r="E288" i="1" s="1"/>
  <c r="H288" i="1" s="1"/>
  <c r="E289" i="1" a="1"/>
  <c r="E289" i="1" s="1"/>
  <c r="H289" i="1" s="1"/>
  <c r="E290" i="1" a="1"/>
  <c r="E290" i="1" s="1"/>
  <c r="H290" i="1" s="1"/>
  <c r="E291" i="1" a="1"/>
  <c r="E291" i="1" s="1"/>
  <c r="H291" i="1" s="1"/>
  <c r="E292" i="1" a="1"/>
  <c r="E292" i="1" s="1"/>
  <c r="H292" i="1" s="1"/>
  <c r="E293" i="1" a="1"/>
  <c r="E293" i="1" s="1"/>
  <c r="H293" i="1" s="1"/>
  <c r="E294" i="1" a="1"/>
  <c r="E294" i="1" s="1"/>
  <c r="H294" i="1" s="1"/>
  <c r="E295" i="1" a="1"/>
  <c r="E295" i="1" s="1"/>
  <c r="H295" i="1" s="1"/>
  <c r="E296" i="1" a="1"/>
  <c r="E296" i="1" s="1"/>
  <c r="H296" i="1" s="1"/>
  <c r="E297" i="1" a="1"/>
  <c r="E297" i="1" s="1"/>
  <c r="H297" i="1" s="1"/>
  <c r="E298" i="1" a="1"/>
  <c r="E298" i="1" s="1"/>
  <c r="H298" i="1" s="1"/>
  <c r="E299" i="1" a="1"/>
  <c r="E299" i="1" s="1"/>
  <c r="H299" i="1" s="1"/>
  <c r="E300" i="1" a="1"/>
  <c r="E300" i="1" s="1"/>
  <c r="H300" i="1" s="1"/>
  <c r="E301" i="1" a="1"/>
  <c r="E301" i="1" s="1"/>
  <c r="H301" i="1" s="1"/>
  <c r="E302" i="1" a="1"/>
  <c r="E302" i="1" s="1"/>
  <c r="H302" i="1" s="1"/>
  <c r="E303" i="1" a="1"/>
  <c r="E303" i="1" s="1"/>
  <c r="H303" i="1" s="1"/>
  <c r="E304" i="1" a="1"/>
  <c r="E304" i="1" s="1"/>
  <c r="H304" i="1" s="1"/>
  <c r="E305" i="1" a="1"/>
  <c r="E305" i="1" s="1"/>
  <c r="H305" i="1" s="1"/>
  <c r="E306" i="1" a="1"/>
  <c r="E306" i="1" s="1"/>
  <c r="H306" i="1" s="1"/>
  <c r="E307" i="1" a="1"/>
  <c r="E307" i="1" s="1"/>
  <c r="H307" i="1" s="1"/>
  <c r="E308" i="1" a="1"/>
  <c r="E308" i="1" s="1"/>
  <c r="H308" i="1" s="1"/>
  <c r="E309" i="1" a="1"/>
  <c r="E309" i="1" s="1"/>
  <c r="H309" i="1" s="1"/>
  <c r="E310" i="1" a="1"/>
  <c r="E310" i="1" s="1"/>
  <c r="H310" i="1" s="1"/>
  <c r="E311" i="1" a="1"/>
  <c r="E311" i="1" s="1"/>
  <c r="H311" i="1" s="1"/>
  <c r="E312" i="1" a="1"/>
  <c r="E312" i="1" s="1"/>
  <c r="H312" i="1" s="1"/>
  <c r="E313" i="1" a="1"/>
  <c r="E313" i="1" s="1"/>
  <c r="H313" i="1" s="1"/>
  <c r="E314" i="1" a="1"/>
  <c r="E314" i="1" s="1"/>
  <c r="H314" i="1" s="1"/>
  <c r="E315" i="1" a="1"/>
  <c r="E315" i="1" s="1"/>
  <c r="H315" i="1" s="1"/>
  <c r="E316" i="1" a="1"/>
  <c r="E316" i="1" s="1"/>
  <c r="H316" i="1" s="1"/>
  <c r="E317" i="1" a="1"/>
  <c r="E317" i="1" s="1"/>
  <c r="H317" i="1" s="1"/>
  <c r="E318" i="1" a="1"/>
  <c r="E318" i="1" s="1"/>
  <c r="H318" i="1" s="1"/>
  <c r="E319" i="1" a="1"/>
  <c r="E319" i="1" s="1"/>
  <c r="H319" i="1" s="1"/>
  <c r="E320" i="1" a="1"/>
  <c r="E320" i="1" s="1"/>
  <c r="H320" i="1" s="1"/>
  <c r="E321" i="1" a="1"/>
  <c r="E321" i="1" s="1"/>
  <c r="H321" i="1" s="1"/>
  <c r="E322" i="1" a="1"/>
  <c r="E322" i="1" s="1"/>
  <c r="H322" i="1" s="1"/>
  <c r="E323" i="1" a="1"/>
  <c r="E323" i="1" s="1"/>
  <c r="H323" i="1" s="1"/>
  <c r="E324" i="1" a="1"/>
  <c r="E324" i="1" s="1"/>
  <c r="H324" i="1" s="1"/>
  <c r="E325" i="1" a="1"/>
  <c r="E325" i="1" s="1"/>
  <c r="H325" i="1" s="1"/>
  <c r="E326" i="1" a="1"/>
  <c r="E326" i="1" s="1"/>
  <c r="H326" i="1" s="1"/>
  <c r="E327" i="1" a="1"/>
  <c r="E327" i="1" s="1"/>
  <c r="H327" i="1" s="1"/>
  <c r="E328" i="1" a="1"/>
  <c r="E328" i="1" s="1"/>
  <c r="H328" i="1" s="1"/>
  <c r="E329" i="1" a="1"/>
  <c r="E329" i="1" s="1"/>
  <c r="H329" i="1" s="1"/>
  <c r="E330" i="1" a="1"/>
  <c r="E330" i="1" s="1"/>
  <c r="H330" i="1" s="1"/>
  <c r="E331" i="1" a="1"/>
  <c r="E331" i="1" s="1"/>
  <c r="H331" i="1" s="1"/>
  <c r="E332" i="1" a="1"/>
  <c r="E332" i="1" s="1"/>
  <c r="H332" i="1" s="1"/>
  <c r="E333" i="1" a="1"/>
  <c r="E333" i="1" s="1"/>
  <c r="H333" i="1" s="1"/>
  <c r="E334" i="1" a="1"/>
  <c r="E334" i="1" s="1"/>
  <c r="H334" i="1" s="1"/>
  <c r="E335" i="1" a="1"/>
  <c r="E335" i="1" s="1"/>
  <c r="H335" i="1" s="1"/>
  <c r="E336" i="1" a="1"/>
  <c r="E336" i="1" s="1"/>
  <c r="H336" i="1" s="1"/>
  <c r="E337" i="1" a="1"/>
  <c r="E337" i="1" s="1"/>
  <c r="H337" i="1" s="1"/>
  <c r="E338" i="1" a="1"/>
  <c r="E338" i="1" s="1"/>
  <c r="H338" i="1" s="1"/>
  <c r="E339" i="1" a="1"/>
  <c r="E339" i="1" s="1"/>
  <c r="H339" i="1" s="1"/>
  <c r="E340" i="1" a="1"/>
  <c r="E340" i="1" s="1"/>
  <c r="H340" i="1" s="1"/>
  <c r="E341" i="1" a="1"/>
  <c r="E341" i="1" s="1"/>
  <c r="H341" i="1" s="1"/>
  <c r="E342" i="1" a="1"/>
  <c r="E342" i="1" s="1"/>
  <c r="H342" i="1" s="1"/>
  <c r="E343" i="1" a="1"/>
  <c r="E343" i="1" s="1"/>
  <c r="H343" i="1" s="1"/>
  <c r="E344" i="1" a="1"/>
  <c r="E344" i="1" s="1"/>
  <c r="H344" i="1" s="1"/>
  <c r="E345" i="1" a="1"/>
  <c r="E345" i="1" s="1"/>
  <c r="H345" i="1" s="1"/>
  <c r="E346" i="1" a="1"/>
  <c r="E346" i="1" s="1"/>
  <c r="H346" i="1" s="1"/>
  <c r="E347" i="1" a="1"/>
  <c r="E347" i="1" s="1"/>
  <c r="H347" i="1" s="1"/>
  <c r="E348" i="1" a="1"/>
  <c r="E348" i="1" s="1"/>
  <c r="H348" i="1" s="1"/>
  <c r="E349" i="1" a="1"/>
  <c r="E349" i="1" s="1"/>
  <c r="H349" i="1" s="1"/>
  <c r="E350" i="1" a="1"/>
  <c r="E350" i="1" s="1"/>
  <c r="H350" i="1" s="1"/>
  <c r="E351" i="1" a="1"/>
  <c r="E351" i="1" s="1"/>
  <c r="H351" i="1" s="1"/>
  <c r="E352" i="1" a="1"/>
  <c r="E352" i="1" s="1"/>
  <c r="H352" i="1" s="1"/>
  <c r="E353" i="1" a="1"/>
  <c r="E353" i="1" s="1"/>
  <c r="H353" i="1" s="1"/>
  <c r="E354" i="1" a="1"/>
  <c r="E354" i="1" s="1"/>
  <c r="H354" i="1" s="1"/>
  <c r="E355" i="1" a="1"/>
  <c r="E355" i="1" s="1"/>
  <c r="H355" i="1" s="1"/>
  <c r="E356" i="1" a="1"/>
  <c r="E356" i="1" s="1"/>
  <c r="H356" i="1" s="1"/>
  <c r="E357" i="1" a="1"/>
  <c r="E357" i="1" s="1"/>
  <c r="H357" i="1" s="1"/>
  <c r="E358" i="1" a="1"/>
  <c r="E358" i="1" s="1"/>
  <c r="H358" i="1" s="1"/>
  <c r="E359" i="1" a="1"/>
  <c r="E359" i="1" s="1"/>
  <c r="H359" i="1" s="1"/>
  <c r="E360" i="1" a="1"/>
  <c r="E360" i="1" s="1"/>
  <c r="H360" i="1" s="1"/>
  <c r="E361" i="1" a="1"/>
  <c r="E361" i="1" s="1"/>
  <c r="H361" i="1" s="1"/>
  <c r="E362" i="1" a="1"/>
  <c r="E362" i="1" s="1"/>
  <c r="H362" i="1" s="1"/>
  <c r="E363" i="1" a="1"/>
  <c r="E363" i="1" s="1"/>
  <c r="H363" i="1" s="1"/>
  <c r="E364" i="1" a="1"/>
  <c r="E364" i="1" s="1"/>
  <c r="H364" i="1" s="1"/>
  <c r="E365" i="1" a="1"/>
  <c r="E365" i="1" s="1"/>
  <c r="H365" i="1" s="1"/>
  <c r="E366" i="1" a="1"/>
  <c r="E366" i="1" s="1"/>
  <c r="H366" i="1" s="1"/>
  <c r="E367" i="1" a="1"/>
  <c r="E367" i="1" s="1"/>
  <c r="H367" i="1" s="1"/>
  <c r="E368" i="1" a="1"/>
  <c r="E368" i="1" s="1"/>
  <c r="H368" i="1" s="1"/>
  <c r="E369" i="1" a="1"/>
  <c r="E369" i="1" s="1"/>
  <c r="H369" i="1" s="1"/>
  <c r="E370" i="1" a="1"/>
  <c r="E370" i="1" s="1"/>
  <c r="H370" i="1" s="1"/>
  <c r="E371" i="1" a="1"/>
  <c r="E371" i="1" s="1"/>
  <c r="H371" i="1" s="1"/>
  <c r="E372" i="1" a="1"/>
  <c r="E372" i="1" s="1"/>
  <c r="H372" i="1" s="1"/>
  <c r="E373" i="1" a="1"/>
  <c r="E373" i="1" s="1"/>
  <c r="H373" i="1" s="1"/>
  <c r="E374" i="1" a="1"/>
  <c r="E374" i="1" s="1"/>
  <c r="H374" i="1" s="1"/>
  <c r="E375" i="1" a="1"/>
  <c r="E375" i="1" s="1"/>
  <c r="H375" i="1" s="1"/>
  <c r="E376" i="1" a="1"/>
  <c r="E376" i="1" s="1"/>
  <c r="H376" i="1" s="1"/>
  <c r="E377" i="1" a="1"/>
  <c r="E377" i="1" s="1"/>
  <c r="H377" i="1" s="1"/>
  <c r="E378" i="1" a="1"/>
  <c r="E378" i="1" s="1"/>
  <c r="H378" i="1" s="1"/>
  <c r="E379" i="1" a="1"/>
  <c r="E379" i="1" s="1"/>
  <c r="H379" i="1" s="1"/>
  <c r="E380" i="1" a="1"/>
  <c r="E380" i="1" s="1"/>
  <c r="H380" i="1" s="1"/>
  <c r="E381" i="1" a="1"/>
  <c r="E381" i="1" s="1"/>
  <c r="H381" i="1" s="1"/>
  <c r="E382" i="1" a="1"/>
  <c r="E382" i="1" s="1"/>
  <c r="H382" i="1" s="1"/>
  <c r="E383" i="1" a="1"/>
  <c r="E383" i="1" s="1"/>
  <c r="H383" i="1" s="1"/>
  <c r="E384" i="1" a="1"/>
  <c r="E384" i="1" s="1"/>
  <c r="H384" i="1" s="1"/>
  <c r="E385" i="1" a="1"/>
  <c r="E385" i="1" s="1"/>
  <c r="H385" i="1" s="1"/>
  <c r="E386" i="1" a="1"/>
  <c r="E386" i="1" s="1"/>
  <c r="H386" i="1" s="1"/>
  <c r="E387" i="1" a="1"/>
  <c r="E387" i="1" s="1"/>
  <c r="H387" i="1" s="1"/>
  <c r="E388" i="1" a="1"/>
  <c r="E388" i="1" s="1"/>
  <c r="H388" i="1" s="1"/>
  <c r="E389" i="1" a="1"/>
  <c r="E389" i="1" s="1"/>
  <c r="H389" i="1" s="1"/>
  <c r="E390" i="1" a="1"/>
  <c r="E390" i="1" s="1"/>
  <c r="H390" i="1" s="1"/>
  <c r="E391" i="1" a="1"/>
  <c r="E391" i="1" s="1"/>
  <c r="H391" i="1" s="1"/>
  <c r="E392" i="1" a="1"/>
  <c r="E392" i="1" s="1"/>
  <c r="H392" i="1" s="1"/>
  <c r="E393" i="1" a="1"/>
  <c r="E393" i="1" s="1"/>
  <c r="H393" i="1" s="1"/>
  <c r="E394" i="1" a="1"/>
  <c r="E394" i="1" s="1"/>
  <c r="H394" i="1" s="1"/>
  <c r="E395" i="1" a="1"/>
  <c r="E395" i="1" s="1"/>
  <c r="H395" i="1" s="1"/>
  <c r="E396" i="1" a="1"/>
  <c r="E396" i="1" s="1"/>
  <c r="H396" i="1" s="1"/>
  <c r="E397" i="1" a="1"/>
  <c r="E397" i="1" s="1"/>
  <c r="H397" i="1" s="1"/>
  <c r="E398" i="1" a="1"/>
  <c r="E398" i="1" s="1"/>
  <c r="H398" i="1" s="1"/>
  <c r="E399" i="1" a="1"/>
  <c r="E399" i="1" s="1"/>
  <c r="H399" i="1" s="1"/>
  <c r="E400" i="1" a="1"/>
  <c r="E400" i="1" s="1"/>
  <c r="H400" i="1" s="1"/>
  <c r="E401" i="1" a="1"/>
  <c r="E401" i="1" s="1"/>
  <c r="H401" i="1" s="1"/>
  <c r="E402" i="1" a="1"/>
  <c r="E402" i="1" s="1"/>
  <c r="H402" i="1" s="1"/>
  <c r="E403" i="1" a="1"/>
  <c r="E403" i="1" s="1"/>
  <c r="H403" i="1" s="1"/>
  <c r="E404" i="1" a="1"/>
  <c r="E404" i="1" s="1"/>
  <c r="H404" i="1" s="1"/>
  <c r="E405" i="1" a="1"/>
  <c r="E405" i="1" s="1"/>
  <c r="H405" i="1" s="1"/>
  <c r="E406" i="1" a="1"/>
  <c r="E406" i="1" s="1"/>
  <c r="H406" i="1" s="1"/>
  <c r="E407" i="1" a="1"/>
  <c r="E407" i="1" s="1"/>
  <c r="H407" i="1" s="1"/>
  <c r="E408" i="1" a="1"/>
  <c r="E408" i="1" s="1"/>
  <c r="H408" i="1" s="1"/>
  <c r="E409" i="1" a="1"/>
  <c r="E409" i="1" s="1"/>
  <c r="H409" i="1" s="1"/>
  <c r="E410" i="1" a="1"/>
  <c r="E410" i="1" s="1"/>
  <c r="H410" i="1" s="1"/>
  <c r="E411" i="1" a="1"/>
  <c r="E411" i="1" s="1"/>
  <c r="H411" i="1" s="1"/>
  <c r="E412" i="1" a="1"/>
  <c r="E412" i="1" s="1"/>
  <c r="H412" i="1" s="1"/>
  <c r="E413" i="1" a="1"/>
  <c r="E413" i="1" s="1"/>
  <c r="H413" i="1" s="1"/>
  <c r="E414" i="1" a="1"/>
  <c r="E414" i="1" s="1"/>
  <c r="H414" i="1" s="1"/>
  <c r="E415" i="1" a="1"/>
  <c r="E415" i="1" s="1"/>
  <c r="H415" i="1" s="1"/>
  <c r="E416" i="1" a="1"/>
  <c r="E416" i="1" s="1"/>
  <c r="H416" i="1" s="1"/>
  <c r="E417" i="1" a="1"/>
  <c r="E417" i="1" s="1"/>
  <c r="H417" i="1" s="1"/>
  <c r="E418" i="1" a="1"/>
  <c r="E418" i="1" s="1"/>
  <c r="H418" i="1" s="1"/>
  <c r="E419" i="1" a="1"/>
  <c r="E419" i="1" s="1"/>
  <c r="H419" i="1" s="1"/>
  <c r="E420" i="1" a="1"/>
  <c r="E420" i="1" s="1"/>
  <c r="H420" i="1" s="1"/>
  <c r="E421" i="1" a="1"/>
  <c r="E421" i="1" s="1"/>
  <c r="H421" i="1" s="1"/>
  <c r="E422" i="1" a="1"/>
  <c r="E422" i="1" s="1"/>
  <c r="H422" i="1" s="1"/>
  <c r="E423" i="1" a="1"/>
  <c r="E423" i="1" s="1"/>
  <c r="H423" i="1" s="1"/>
  <c r="E424" i="1" a="1"/>
  <c r="E424" i="1" s="1"/>
  <c r="H424" i="1" s="1"/>
  <c r="E425" i="1" a="1"/>
  <c r="E425" i="1" s="1"/>
  <c r="H425" i="1" s="1"/>
  <c r="E426" i="1" a="1"/>
  <c r="E426" i="1" s="1"/>
  <c r="H426" i="1" s="1"/>
  <c r="E427" i="1" a="1"/>
  <c r="E427" i="1" s="1"/>
  <c r="H427" i="1" s="1"/>
  <c r="E428" i="1" a="1"/>
  <c r="E428" i="1" s="1"/>
  <c r="H428" i="1" s="1"/>
  <c r="E429" i="1" a="1"/>
  <c r="E429" i="1" s="1"/>
  <c r="H429" i="1" s="1"/>
  <c r="E430" i="1" a="1"/>
  <c r="E430" i="1" s="1"/>
  <c r="H430" i="1" s="1"/>
  <c r="E431" i="1" a="1"/>
  <c r="E431" i="1" s="1"/>
  <c r="H431" i="1" s="1"/>
  <c r="E432" i="1" a="1"/>
  <c r="E432" i="1" s="1"/>
  <c r="H432" i="1" s="1"/>
  <c r="E433" i="1" a="1"/>
  <c r="E433" i="1" s="1"/>
  <c r="H433" i="1" s="1"/>
  <c r="E434" i="1" a="1"/>
  <c r="E434" i="1" s="1"/>
  <c r="H434" i="1" s="1"/>
  <c r="E435" i="1" a="1"/>
  <c r="E435" i="1" s="1"/>
  <c r="H435" i="1" s="1"/>
  <c r="E436" i="1" a="1"/>
  <c r="E436" i="1" s="1"/>
  <c r="H436" i="1" s="1"/>
  <c r="E437" i="1" a="1"/>
  <c r="E437" i="1" s="1"/>
  <c r="H437" i="1" s="1"/>
  <c r="E438" i="1" a="1"/>
  <c r="E438" i="1" s="1"/>
  <c r="H438" i="1" s="1"/>
  <c r="E439" i="1" a="1"/>
  <c r="E439" i="1" s="1"/>
  <c r="H439" i="1" s="1"/>
  <c r="E440" i="1" a="1"/>
  <c r="E440" i="1" s="1"/>
  <c r="H440" i="1" s="1"/>
  <c r="E441" i="1" a="1"/>
  <c r="E441" i="1" s="1"/>
  <c r="H441" i="1" s="1"/>
  <c r="E442" i="1" a="1"/>
  <c r="E442" i="1" s="1"/>
  <c r="H442" i="1" s="1"/>
  <c r="E443" i="1" a="1"/>
  <c r="E443" i="1" s="1"/>
  <c r="H443" i="1" s="1"/>
  <c r="E444" i="1" a="1"/>
  <c r="E444" i="1" s="1"/>
  <c r="H444" i="1" s="1"/>
  <c r="E445" i="1" a="1"/>
  <c r="E445" i="1" s="1"/>
  <c r="H445" i="1" s="1"/>
  <c r="E446" i="1" a="1"/>
  <c r="E446" i="1" s="1"/>
  <c r="H446" i="1" s="1"/>
  <c r="E447" i="1" a="1"/>
  <c r="E447" i="1" s="1"/>
  <c r="H447" i="1" s="1"/>
  <c r="E448" i="1" a="1"/>
  <c r="E448" i="1" s="1"/>
  <c r="H448" i="1" s="1"/>
  <c r="E449" i="1" a="1"/>
  <c r="E449" i="1" s="1"/>
  <c r="H449" i="1" s="1"/>
  <c r="E450" i="1" a="1"/>
  <c r="E450" i="1" s="1"/>
  <c r="H450" i="1" s="1"/>
  <c r="E451" i="1" a="1"/>
  <c r="E451" i="1" s="1"/>
  <c r="H451" i="1" s="1"/>
  <c r="E452" i="1" a="1"/>
  <c r="E452" i="1" s="1"/>
  <c r="H452" i="1" s="1"/>
  <c r="E453" i="1" a="1"/>
  <c r="E453" i="1" s="1"/>
  <c r="H453" i="1" s="1"/>
  <c r="E454" i="1" a="1"/>
  <c r="E454" i="1" s="1"/>
  <c r="H454" i="1" s="1"/>
  <c r="E455" i="1" a="1"/>
  <c r="E455" i="1" s="1"/>
  <c r="H455" i="1" s="1"/>
  <c r="E456" i="1" a="1"/>
  <c r="E456" i="1" s="1"/>
  <c r="H456" i="1" s="1"/>
  <c r="E457" i="1" a="1"/>
  <c r="E457" i="1" s="1"/>
  <c r="H457" i="1" s="1"/>
  <c r="E458" i="1" a="1"/>
  <c r="E458" i="1" s="1"/>
  <c r="H458" i="1" s="1"/>
  <c r="E459" i="1" a="1"/>
  <c r="E459" i="1" s="1"/>
  <c r="H459" i="1" s="1"/>
  <c r="E460" i="1" a="1"/>
  <c r="E460" i="1" s="1"/>
  <c r="H460" i="1" s="1"/>
  <c r="E461" i="1" a="1"/>
  <c r="E461" i="1" s="1"/>
  <c r="H461" i="1" s="1"/>
  <c r="E462" i="1" a="1"/>
  <c r="E462" i="1" s="1"/>
  <c r="H462" i="1" s="1"/>
  <c r="E463" i="1" a="1"/>
  <c r="E463" i="1" s="1"/>
  <c r="H463" i="1" s="1"/>
  <c r="E464" i="1" a="1"/>
  <c r="E464" i="1" s="1"/>
  <c r="H464" i="1" s="1"/>
  <c r="E465" i="1" a="1"/>
  <c r="E465" i="1" s="1"/>
  <c r="H465" i="1" s="1"/>
  <c r="E466" i="1" a="1"/>
  <c r="E466" i="1" s="1"/>
  <c r="H466" i="1" s="1"/>
  <c r="E467" i="1" a="1"/>
  <c r="E467" i="1" s="1"/>
  <c r="H467" i="1" s="1"/>
  <c r="E468" i="1" a="1"/>
  <c r="E468" i="1" s="1"/>
  <c r="H468" i="1" s="1"/>
  <c r="E469" i="1" a="1"/>
  <c r="E469" i="1" s="1"/>
  <c r="H469" i="1" s="1"/>
  <c r="E470" i="1" a="1"/>
  <c r="E470" i="1" s="1"/>
  <c r="H470" i="1" s="1"/>
  <c r="E471" i="1" a="1"/>
  <c r="E471" i="1" s="1"/>
  <c r="H471" i="1" s="1"/>
  <c r="E472" i="1" a="1"/>
  <c r="E472" i="1" s="1"/>
  <c r="H472" i="1" s="1"/>
  <c r="E473" i="1" a="1"/>
  <c r="E473" i="1" s="1"/>
  <c r="H473" i="1" s="1"/>
  <c r="E474" i="1" a="1"/>
  <c r="E474" i="1" s="1"/>
  <c r="H474" i="1" s="1"/>
  <c r="E475" i="1" a="1"/>
  <c r="E475" i="1" s="1"/>
  <c r="H475" i="1" s="1"/>
  <c r="E476" i="1" a="1"/>
  <c r="E476" i="1" s="1"/>
  <c r="H476" i="1" s="1"/>
  <c r="E477" i="1" a="1"/>
  <c r="E477" i="1" s="1"/>
  <c r="H477" i="1" s="1"/>
  <c r="E478" i="1" a="1"/>
  <c r="E478" i="1" s="1"/>
  <c r="H478" i="1" s="1"/>
  <c r="E479" i="1" a="1"/>
  <c r="E479" i="1" s="1"/>
  <c r="H479" i="1" s="1"/>
  <c r="E480" i="1" a="1"/>
  <c r="E480" i="1" s="1"/>
  <c r="H480" i="1" s="1"/>
  <c r="E481" i="1" a="1"/>
  <c r="E481" i="1" s="1"/>
  <c r="H481" i="1" s="1"/>
  <c r="E482" i="1" a="1"/>
  <c r="E482" i="1" s="1"/>
  <c r="H482" i="1" s="1"/>
  <c r="E483" i="1" a="1"/>
  <c r="E483" i="1" s="1"/>
  <c r="H483" i="1" s="1"/>
  <c r="E484" i="1" a="1"/>
  <c r="E484" i="1" s="1"/>
  <c r="H484" i="1" s="1"/>
  <c r="E485" i="1" a="1"/>
  <c r="E485" i="1" s="1"/>
  <c r="H485" i="1" s="1"/>
  <c r="E486" i="1" a="1"/>
  <c r="E486" i="1" s="1"/>
  <c r="H486" i="1" s="1"/>
  <c r="E487" i="1" a="1"/>
  <c r="E487" i="1" s="1"/>
  <c r="H487" i="1" s="1"/>
  <c r="E488" i="1" a="1"/>
  <c r="E488" i="1" s="1"/>
  <c r="H488" i="1" s="1"/>
  <c r="E489" i="1" a="1"/>
  <c r="E489" i="1" s="1"/>
  <c r="H489" i="1" s="1"/>
  <c r="E490" i="1" a="1"/>
  <c r="E490" i="1" s="1"/>
  <c r="H490" i="1" s="1"/>
  <c r="E491" i="1" a="1"/>
  <c r="E491" i="1" s="1"/>
  <c r="H491" i="1" s="1"/>
  <c r="E492" i="1" a="1"/>
  <c r="E492" i="1" s="1"/>
  <c r="H492" i="1" s="1"/>
  <c r="E493" i="1" a="1"/>
  <c r="E493" i="1" s="1"/>
  <c r="H493" i="1" s="1"/>
  <c r="E494" i="1" a="1"/>
  <c r="E494" i="1" s="1"/>
  <c r="H494" i="1" s="1"/>
  <c r="E495" i="1" a="1"/>
  <c r="E495" i="1" s="1"/>
  <c r="H495" i="1" s="1"/>
  <c r="E496" i="1" a="1"/>
  <c r="E496" i="1" s="1"/>
  <c r="H496" i="1" s="1"/>
  <c r="E497" i="1" a="1"/>
  <c r="E497" i="1" s="1"/>
  <c r="H497" i="1" s="1"/>
  <c r="E498" i="1" a="1"/>
  <c r="E498" i="1" s="1"/>
  <c r="H498" i="1" s="1"/>
  <c r="E499" i="1" a="1"/>
  <c r="E499" i="1" s="1"/>
  <c r="H499" i="1" s="1"/>
  <c r="E500" i="1" a="1"/>
  <c r="E500" i="1" s="1"/>
  <c r="H500" i="1" s="1"/>
  <c r="E501" i="1" a="1"/>
  <c r="E501" i="1" s="1"/>
  <c r="H501" i="1" s="1"/>
  <c r="E502" i="1" a="1"/>
  <c r="E502" i="1" s="1"/>
  <c r="H502" i="1" s="1"/>
  <c r="E503" i="1" a="1"/>
  <c r="E503" i="1" s="1"/>
  <c r="H503" i="1" s="1"/>
  <c r="E504" i="1" a="1"/>
  <c r="E504" i="1" s="1"/>
  <c r="H504" i="1" s="1"/>
  <c r="E505" i="1" a="1"/>
  <c r="E505" i="1" s="1"/>
  <c r="H505" i="1" s="1"/>
  <c r="E2" i="1" a="1"/>
  <c r="E2" i="1" s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<sst xmlns="http://schemas.openxmlformats.org/spreadsheetml/2006/main" count="1107" uniqueCount="40">
  <si>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</si>
  <si>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</si>
  <si>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</si>
  <si>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</si>
  <si>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</si>
  <si>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</si>
  <si>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</si>
  <si>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</si>
  <si>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</si>
  <si>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</si>
  <si>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</si>
  <si>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</si>
  <si>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</si>
  <si>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</si>
  <si>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</si>
  <si>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</si>
  <si>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</si>
  <si>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</si>
  <si>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</si>
  <si>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</si>
  <si>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</si>
  <si>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</si>
  <si>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</si>
  <si>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</si>
  <si>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</si>
  <si>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</si>
  <si>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</si>
  <si>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</si>
  <si>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Названия строк</t>
  </si>
  <si>
    <t>Сумма по полю Товарооборот на склад</t>
  </si>
  <si>
    <t>Товарооборот</t>
  </si>
  <si>
    <t>Кол-во складов</t>
  </si>
  <si>
    <t>% Товарооборот -на складе</t>
  </si>
  <si>
    <t>(Все)</t>
  </si>
  <si>
    <t>Неделя/ Территория</t>
  </si>
  <si>
    <t>% Товарооборота на складе</t>
  </si>
  <si>
    <t>ТОП-3 территорий по доле в общем товарообороте</t>
  </si>
  <si>
    <t>ТОП-3 территорий по товарообороту на склад за последнюю неделю</t>
  </si>
  <si>
    <t>% Товарооборота на складе за последнюю неделю</t>
  </si>
  <si>
    <t>Данные в разрезе Территории и Недель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</si>
</sst>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1" fillId="2" borderId="2" xfId="0" applyNumberFormat="1" applyFont="1" applyFill="1" applyBorder="1" applyAlignment="1">
      <alignment vertical="center" wrapText="1"/>
    </xf>
    <xf numFmtId="1" fontId="0" fillId="0" borderId="0" xfId="0" applyNumberFormat="1"/>
    <xf numFmtId="2" fontId="1" fillId="2" borderId="3" xfId="0" applyNumberFormat="1" applyFont="1" applyFill="1" applyBorder="1" applyAlignment="1">
      <alignment vertical="center" wrapText="1"/>
    </xf>
    <xf numFmtId="4" fontId="0" fillId="0" borderId="0" xfId="0" applyNumberFormat="1"/>
    <xf numFmtId="10" fontId="0" fillId="0" borderId="0" xfId="0" applyNumberFormat="1"/>
    <xf numFmtId="164" fontId="2" fillId="0" borderId="1" xfId="0" applyNumberFormat="1" applyFont="1" applyBorder="1"/>
    <xf numFmtId="0" fontId="2" fillId="0" borderId="2" xfId="0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1" fontId="2" fillId="0" borderId="5" xfId="0" applyNumberFormat="1" applyFont="1" applyBorder="1"/>
    <xf numFmtId="2" fontId="2" fillId="0" borderId="5" xfId="0" applyNumberFormat="1" applyFont="1" applyBorder="1"/>
    <xf numFmtId="164" fontId="2" fillId="0" borderId="6" xfId="0" applyNumberFormat="1" applyFont="1" applyBorder="1"/>
    <xf numFmtId="0" fontId="2" fillId="0" borderId="7" xfId="0" applyFont="1" applyBorder="1"/>
    <xf numFmtId="1" fontId="2" fillId="0" borderId="7" xfId="0" applyNumberFormat="1" applyFont="1" applyBorder="1"/>
    <xf numFmtId="2" fontId="2" fillId="0" borderId="7" xfId="0" applyNumberFormat="1" applyFont="1" applyBorder="1"/>
    <xf numFmtId="4" fontId="1" fillId="2" borderId="2" xfId="0" applyNumberFormat="1" applyFont="1" applyFill="1" applyBorder="1" applyAlignment="1">
      <alignment vertical="center" wrapText="1"/>
    </xf>
    <xf numFmtId="4" fontId="2" fillId="0" borderId="2" xfId="0" applyNumberFormat="1" applyFont="1" applyBorder="1"/>
    <xf numFmtId="4" fontId="2" fillId="0" borderId="5" xfId="0" applyNumberFormat="1" applyFont="1" applyBorder="1"/>
    <xf numFmtId="2" fontId="3" fillId="0" borderId="0" xfId="0" applyNumberFormat="1" applyFont="1"/>
    <xf numFmtId="0" fontId="5" fillId="3" borderId="8" xfId="0" applyFont="1" applyFill="1" applyBorder="1"/>
    <xf numFmtId="0" fontId="0" fillId="0" borderId="0" xfId="0" applyNumberFormat="1"/>
    <xf numFmtId="4" fontId="5" fillId="3" borderId="8" xfId="0" applyNumberFormat="1" applyFont="1" applyFill="1" applyBorder="1"/>
    <xf numFmtId="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4" fontId="4" fillId="3" borderId="8" xfId="0" applyNumberFormat="1" applyFont="1" applyFill="1" applyBorder="1"/>
    <xf numFmtId="0" fontId="0" fillId="0" borderId="0" xfId="0" applyAlignment="1">
      <alignment vertical="center"/>
    </xf>
  </cellXfs>
  <cellStyles count="1">
    <cellStyle name="Обычный" xfId="0" builtinId="0"/>
  </cellStyles>
  <dxfs count="49">
    <dxf>
      <alignment horizontal="general"/>
    </dxf>
    <dxf>
      <alignment vertical="center"/>
    </dxf>
    <dxf>
      <alignment horizontal="center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таблица6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Товарооборот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График!$A$4:$A$22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График!$B$4:$B$22</c:f>
              <c:numCache>
                <c:formatCode>#,##0.00</c:formatCode>
                <c:ptCount val="18"/>
                <c:pt idx="0">
                  <c:v>1380723900.7513499</c:v>
                </c:pt>
                <c:pt idx="1">
                  <c:v>1035612381.8110501</c:v>
                </c:pt>
                <c:pt idx="2">
                  <c:v>774146953.5</c:v>
                </c:pt>
                <c:pt idx="3">
                  <c:v>738124428</c:v>
                </c:pt>
                <c:pt idx="4">
                  <c:v>243409003.5</c:v>
                </c:pt>
                <c:pt idx="5">
                  <c:v>218000127</c:v>
                </c:pt>
                <c:pt idx="6">
                  <c:v>120582837</c:v>
                </c:pt>
                <c:pt idx="7">
                  <c:v>101673535.5</c:v>
                </c:pt>
                <c:pt idx="8">
                  <c:v>95592298.5</c:v>
                </c:pt>
                <c:pt idx="9">
                  <c:v>85862581.5</c:v>
                </c:pt>
                <c:pt idx="10">
                  <c:v>48803040</c:v>
                </c:pt>
                <c:pt idx="11">
                  <c:v>41034630</c:v>
                </c:pt>
                <c:pt idx="12">
                  <c:v>34816548</c:v>
                </c:pt>
                <c:pt idx="13">
                  <c:v>33207564</c:v>
                </c:pt>
                <c:pt idx="14">
                  <c:v>5664156</c:v>
                </c:pt>
                <c:pt idx="15">
                  <c:v>3342598.5</c:v>
                </c:pt>
                <c:pt idx="16">
                  <c:v>882906</c:v>
                </c:pt>
                <c:pt idx="17">
                  <c:v>879727.5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E-4504-B645-08EC2D86A73A}"/>
            </c:ext>
          </c:extLst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% Товарооборота на складе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График!$A$4:$A$22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График!$C$4:$C$22</c:f>
              <c:numCache>
                <c:formatCode>0.00%</c:formatCode>
                <c:ptCount val="18"/>
                <c:pt idx="0">
                  <c:v>0.11984748486101554</c:v>
                </c:pt>
                <c:pt idx="1">
                  <c:v>8.6975418863033824E-2</c:v>
                </c:pt>
                <c:pt idx="2">
                  <c:v>0.14107897228020569</c:v>
                </c:pt>
                <c:pt idx="3">
                  <c:v>0.14799166939913513</c:v>
                </c:pt>
                <c:pt idx="4">
                  <c:v>8.501124865229305E-2</c:v>
                </c:pt>
                <c:pt idx="5">
                  <c:v>6.5280235799404771E-2</c:v>
                </c:pt>
                <c:pt idx="6">
                  <c:v>6.2351325848440935E-2</c:v>
                </c:pt>
                <c:pt idx="7">
                  <c:v>5.4340640021060468E-2</c:v>
                </c:pt>
                <c:pt idx="8">
                  <c:v>5.3712588490720498E-2</c:v>
                </c:pt>
                <c:pt idx="9">
                  <c:v>4.8334541056485415E-2</c:v>
                </c:pt>
                <c:pt idx="10">
                  <c:v>3.33460586489112E-2</c:v>
                </c:pt>
                <c:pt idx="11">
                  <c:v>2.7152761413912884E-2</c:v>
                </c:pt>
                <c:pt idx="12">
                  <c:v>2.4800868664154613E-2</c:v>
                </c:pt>
                <c:pt idx="13">
                  <c:v>3.5953276021923726E-2</c:v>
                </c:pt>
                <c:pt idx="14">
                  <c:v>8.7606961258772844E-3</c:v>
                </c:pt>
                <c:pt idx="15">
                  <c:v>2.412650453191291E-3</c:v>
                </c:pt>
                <c:pt idx="16">
                  <c:v>1.0621195660727772E-3</c:v>
                </c:pt>
                <c:pt idx="17">
                  <c:v>1.5874438341606399E-3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6E-4504-B645-08EC2D86A7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7053088"/>
        <c:axId val="1747052608"/>
      </c:barChart>
      <c:catAx>
        <c:axId val="17470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7052608"/>
        <c:crosses val="autoZero"/>
        <c:auto val="1"/>
        <c:lblAlgn val="ctr"/>
        <c:lblOffset val="100"/>
        <c:noMultiLvlLbl val="0"/>
      </c:catAx>
      <c:valAx>
        <c:axId val="174705260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7470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144780</xdr:rowOff>
    </xdr:from>
    <xdr:to>
      <xdr:col>17</xdr:col>
      <xdr:colOff>243840</xdr:colOff>
      <xdr:row>31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5DF48F-D12A-EEF3-8376-07EEC68B0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l Prmanova" refreshedDate="46123.551970601853" createdVersion="8" refreshedVersion="8" minRefreshableVersion="3" recordCount="504" xr:uid="{6EF7AFE2-FF5D-44D1-99F4-F5D84720B2FD}">
  <cacheSource type="worksheet">
    <worksheetSource ref="A1:I505" sheet="Лист1"/>
  </cacheSource>
  <cacheFields count="12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1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2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2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Поле1" numFmtId="0" formula="'Товарооборот, руб'/'Количество заказов'" databaseField="0"/>
    <cacheField name="Поле2" numFmtId="0" formula="'Товарооборот, руб'/'Количество складов'" databaseField="0"/>
    <cacheField name="Поле3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239C3-F6B4-47E6-BC9D-D23EF92702DE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I10:J29" firstHeaderRow="1" firstDataRow="1" firstDataCol="1" rowPageCount="1" colPageCount="1"/>
  <pivotFields count="12">
    <pivotField numFmtId="164" showAll="0"/>
    <pivotField axis="axisRow" showAll="0" includeNewItemsInFilter="1" sortType="descending" defaultSubtotal="0">
      <items count="18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2" showAll="0"/>
    <pivotField showAll="0"/>
    <pivotField dataField="1" numFmtId="2" showAll="0"/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hier="-1"/>
  </pageFields>
  <dataFields count="1">
    <dataField name="Сумма по полю Товарооборот на склад" fld="7" showDataAs="percentOfTotal" baseField="0" baseItem="0" numFmtId="10"/>
  </dataFields>
  <formats count="3">
    <format dxfId="39">
      <pivotArea outline="0" collapsedLevelsAreSubtotals="1" fieldPosition="0"/>
    </format>
    <format dxfId="40">
      <pivotArea dataOnly="0" labelOnly="1" outline="0" axis="axisValues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5D422-E422-405A-A81B-084D5EAE9DF6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Неделя/ Территория">
  <location ref="A3:D10" firstHeaderRow="0" firstDataRow="1" firstDataCol="1"/>
  <pivotFields count="12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umFmtId="1" showAll="0"/>
    <pivotField dataField="1" showAll="0"/>
    <pivotField dataField="1" showAll="0"/>
    <pivotField showAll="0"/>
    <pivotField showAll="0"/>
    <pivotField dataField="1" numFmtId="2" showAll="0"/>
    <pivotField axis="axisRow" showAll="0" sortType="ascending">
      <items count="7">
        <item sd="0" x="4"/>
        <item sd="0" x="3"/>
        <item sd="0" x="1"/>
        <item sd="0" x="2"/>
        <item sd="0" x="0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8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Товарооборот" fld="3" baseField="0" baseItem="0" numFmtId="4"/>
    <dataField name="Кол-во складов" fld="4" baseField="0" baseItem="0"/>
    <dataField name="% Товарооборот -на складе" fld="7" showDataAs="percentOfTotal" baseField="0" baseItem="0" numFmtId="10"/>
  </dataFields>
  <formats count="4">
    <format dxfId="46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25A70-7595-4E4D-B98E-13C9C6DB0405}" name="Сводная таблица3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F10:G29" firstHeaderRow="1" firstDataRow="1" firstDataCol="1"/>
  <pivotFields count="12">
    <pivotField numFmtId="164" showAll="0"/>
    <pivotField axis="axisRow" showAll="0" includeNewItemsInFilter="1" sortType="descending" defaultSubtotal="0">
      <items count="18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2" showAll="0"/>
    <pivotField showAll="0"/>
    <pivotField dataField="1"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Items count="1">
    <i/>
  </colItems>
  <dataFields count="1">
    <dataField name="Сумма по полю Товарооборот на склад" fld="7" showDataAs="percentOfTotal" baseField="0" baseItem="0" numFmtId="10"/>
  </dataFields>
  <formats count="3">
    <format dxfId="48">
      <pivotArea outline="0" collapsedLevelsAreSubtotals="1" fieldPosition="0"/>
    </format>
    <format dxfId="47">
      <pivotArea dataOnly="0" labelOnly="1" outline="0" axis="axisValues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5FDC6-B7E9-49B0-890D-126D9E97666C}" name="Сводная таблица6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3:C22" firstHeaderRow="0" firstDataRow="1" firstDataCol="1" rowPageCount="1" colPageCount="1"/>
  <pivotFields count="12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showAll="0"/>
    <pivotField showAll="0"/>
    <pivotField numFmtId="2" showAll="0"/>
    <pivotField showAll="0"/>
    <pivotField dataField="1" numFmtId="2" showAll="0"/>
    <pivotField axis="axisPage" multipleItemSelectionAllowed="1" showAll="0">
      <items count="7">
        <item x="4"/>
        <item x="3"/>
        <item x="1"/>
        <item x="2"/>
        <item x="0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Товарооборот" fld="3" baseField="0" baseItem="0" numFmtId="4"/>
    <dataField name="% Товарооборота на складе" fld="7" showDataAs="percentOfTotal" baseField="0" baseItem="0" numFmtId="10"/>
  </dataFields>
  <formats count="6"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8" count="0"/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00"/>
  <sheetViews>
    <sheetView topLeftCell="A144" workbookViewId="0">
      <selection activeCell="D137" sqref="D137:D440"/>
    </sheetView>
  </sheetViews>
  <sheetFormatPr defaultColWidth="14.44140625" defaultRowHeight="15" customHeight="1" x14ac:dyDescent="0.3"/>
  <cols>
    <col min="1" max="1" width="10.33203125" bestFit="1" customWidth="1"/>
    <col min="2" max="2" width="11.33203125" customWidth="1"/>
    <col min="3" max="3" width="9.77734375" style="11" customWidth="1"/>
    <col min="4" max="4" width="20.33203125" style="13" customWidth="1"/>
    <col min="5" max="5" width="15.5546875" customWidth="1"/>
    <col min="6" max="6" width="22" style="9" customWidth="1"/>
    <col min="7" max="7" width="22" customWidth="1"/>
    <col min="8" max="8" width="23.44140625" style="9" customWidth="1"/>
    <col min="9" max="23" width="8.6640625" customWidth="1"/>
  </cols>
  <sheetData>
    <row r="1" spans="1:23" ht="29.4" customHeight="1" x14ac:dyDescent="0.3">
      <c r="A1" s="1" t="s">
        <v>0</v>
      </c>
      <c r="B1" s="2" t="s">
        <v>1</v>
      </c>
      <c r="C1" s="10" t="s">
        <v>2</v>
      </c>
      <c r="D1" s="27" t="s">
        <v>3</v>
      </c>
      <c r="E1" s="3" t="s">
        <v>4</v>
      </c>
      <c r="F1" s="12" t="s">
        <v>5</v>
      </c>
      <c r="G1" s="3" t="s">
        <v>6</v>
      </c>
      <c r="H1" s="1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4.25" hidden="1" customHeight="1" x14ac:dyDescent="0.3">
      <c r="A2" s="15">
        <v>43982</v>
      </c>
      <c r="B2" s="16" t="s">
        <v>9</v>
      </c>
      <c r="C2" s="17">
        <v>7944</v>
      </c>
      <c r="D2" s="18">
        <v>623971.5</v>
      </c>
      <c r="E2" s="5" cm="1">
        <f t="array" ref="E2">INDEX(Лист2!$C:$C,MATCH(1,(Лист2!$A:$A=A2)*(Лист2!$B:$B=B2),0))</f>
        <v>15</v>
      </c>
      <c r="F2" s="30" cm="1">
        <f t="array" ref="F2">INDEX(Лист2!$D:$D,MATCH(1,(Лист2!$A:$A=A2)*(Лист2!$B:$B=B2),0))</f>
        <v>441</v>
      </c>
      <c r="G2" s="5" cm="1">
        <f t="array" ref="G2">INDEX(Лист2!$E:$E,MATCH(1,(Лист2!$A:$A=A2)*(Лист2!$B:$B=B2),0))</f>
        <v>368</v>
      </c>
      <c r="H2" s="9">
        <f>D2/E2</f>
        <v>41598.1</v>
      </c>
      <c r="I2">
        <f>WEEKNUM(A2,2)</f>
        <v>22</v>
      </c>
    </row>
    <row r="3" spans="1:23" ht="14.25" hidden="1" customHeight="1" x14ac:dyDescent="0.3">
      <c r="A3" s="19">
        <v>43981</v>
      </c>
      <c r="B3" s="20" t="s">
        <v>9</v>
      </c>
      <c r="C3" s="21">
        <v>10029</v>
      </c>
      <c r="D3" s="22">
        <v>787101</v>
      </c>
      <c r="E3" s="5" cm="1">
        <f t="array" ref="E3">INDEX(Лист2!$C:$C,MATCH(1,(Лист2!$A:$A=A3)*(Лист2!$B:$B=B3),0))</f>
        <v>15</v>
      </c>
      <c r="F3" s="30" cm="1">
        <f t="array" ref="F3">INDEX(Лист2!$D:$D,MATCH(1,(Лист2!$A:$A=A3)*(Лист2!$B:$B=B3),0))</f>
        <v>490</v>
      </c>
      <c r="G3" s="5" cm="1">
        <f t="array" ref="G3">INDEX(Лист2!$E:$E,MATCH(1,(Лист2!$A:$A=A3)*(Лист2!$B:$B=B3),0))</f>
        <v>409</v>
      </c>
      <c r="H3" s="9">
        <f t="shared" ref="H3:H66" si="0">D3/E3</f>
        <v>52473.4</v>
      </c>
      <c r="I3">
        <f t="shared" ref="I3:I66" si="1">WEEKNUM(A3,2)</f>
        <v>22</v>
      </c>
    </row>
    <row r="4" spans="1:23" ht="14.25" hidden="1" customHeight="1" x14ac:dyDescent="0.3">
      <c r="A4" s="15">
        <v>43979</v>
      </c>
      <c r="B4" s="16" t="s">
        <v>9</v>
      </c>
      <c r="C4" s="17">
        <v>8536.5</v>
      </c>
      <c r="D4" s="18">
        <v>643944</v>
      </c>
      <c r="E4" s="5" cm="1">
        <f t="array" ref="E4">INDEX(Лист2!$C:$C,MATCH(1,(Лист2!$A:$A=A4)*(Лист2!$B:$B=B4),0))</f>
        <v>15</v>
      </c>
      <c r="F4" s="30" cm="1">
        <f t="array" ref="F4">INDEX(Лист2!$D:$D,MATCH(1,(Лист2!$A:$A=A4)*(Лист2!$B:$B=B4),0))</f>
        <v>464</v>
      </c>
      <c r="G4" s="5" cm="1">
        <f t="array" ref="G4">INDEX(Лист2!$E:$E,MATCH(1,(Лист2!$A:$A=A4)*(Лист2!$B:$B=B4),0))</f>
        <v>390</v>
      </c>
      <c r="H4" s="9">
        <f t="shared" si="0"/>
        <v>42929.599999999999</v>
      </c>
      <c r="I4">
        <f t="shared" si="1"/>
        <v>22</v>
      </c>
    </row>
    <row r="5" spans="1:23" ht="14.25" hidden="1" customHeight="1" x14ac:dyDescent="0.3">
      <c r="A5" s="19">
        <v>43967</v>
      </c>
      <c r="B5" s="20" t="s">
        <v>10</v>
      </c>
      <c r="C5" s="21">
        <v>38947.5</v>
      </c>
      <c r="D5" s="22">
        <v>3395892</v>
      </c>
      <c r="E5" s="5" cm="1">
        <f t="array" ref="E5">INDEX(Лист2!$C:$C,MATCH(1,(Лист2!$A:$A=A5)*(Лист2!$B:$B=B5),0))</f>
        <v>21</v>
      </c>
      <c r="F5" s="30" cm="1">
        <f t="array" ref="F5">INDEX(Лист2!$D:$D,MATCH(1,(Лист2!$A:$A=A5)*(Лист2!$B:$B=B5),0))</f>
        <v>2145</v>
      </c>
      <c r="G5" s="5" cm="1">
        <f t="array" ref="G5">INDEX(Лист2!$E:$E,MATCH(1,(Лист2!$A:$A=A5)*(Лист2!$B:$B=B5),0))</f>
        <v>1947</v>
      </c>
      <c r="H5" s="9">
        <f t="shared" si="0"/>
        <v>161709.14285714287</v>
      </c>
      <c r="I5">
        <f t="shared" si="1"/>
        <v>20</v>
      </c>
    </row>
    <row r="6" spans="1:23" ht="14.25" hidden="1" customHeight="1" x14ac:dyDescent="0.3">
      <c r="A6" s="15">
        <v>43970</v>
      </c>
      <c r="B6" s="16" t="s">
        <v>10</v>
      </c>
      <c r="C6" s="17">
        <v>31842</v>
      </c>
      <c r="D6" s="18">
        <v>2771116.5</v>
      </c>
      <c r="E6" s="5" cm="1">
        <f t="array" ref="E6">INDEX(Лист2!$C:$C,MATCH(1,(Лист2!$A:$A=A6)*(Лист2!$B:$B=B6),0))</f>
        <v>21</v>
      </c>
      <c r="F6" s="30" cm="1">
        <f t="array" ref="F6">INDEX(Лист2!$D:$D,MATCH(1,(Лист2!$A:$A=A6)*(Лист2!$B:$B=B6),0))</f>
        <v>1860</v>
      </c>
      <c r="G6" s="5" cm="1">
        <f t="array" ref="G6">INDEX(Лист2!$E:$E,MATCH(1,(Лист2!$A:$A=A6)*(Лист2!$B:$B=B6),0))</f>
        <v>1704</v>
      </c>
      <c r="H6" s="9">
        <f t="shared" si="0"/>
        <v>131957.92857142858</v>
      </c>
      <c r="I6">
        <f t="shared" si="1"/>
        <v>21</v>
      </c>
    </row>
    <row r="7" spans="1:23" ht="14.25" hidden="1" customHeight="1" x14ac:dyDescent="0.3">
      <c r="A7" s="19">
        <v>43968</v>
      </c>
      <c r="B7" s="20" t="s">
        <v>10</v>
      </c>
      <c r="C7" s="21">
        <v>32023.5</v>
      </c>
      <c r="D7" s="22">
        <v>2882458.5</v>
      </c>
      <c r="E7" s="5" cm="1">
        <f t="array" ref="E7">INDEX(Лист2!$C:$C,MATCH(1,(Лист2!$A:$A=A7)*(Лист2!$B:$B=B7),0))</f>
        <v>21</v>
      </c>
      <c r="F7" s="30" cm="1">
        <f t="array" ref="F7">INDEX(Лист2!$D:$D,MATCH(1,(Лист2!$A:$A=A7)*(Лист2!$B:$B=B7),0))</f>
        <v>1874</v>
      </c>
      <c r="G7" s="5" cm="1">
        <f t="array" ref="G7">INDEX(Лист2!$E:$E,MATCH(1,(Лист2!$A:$A=A7)*(Лист2!$B:$B=B7),0))</f>
        <v>1705</v>
      </c>
      <c r="H7" s="9">
        <f t="shared" si="0"/>
        <v>137259.92857142858</v>
      </c>
      <c r="I7">
        <f t="shared" si="1"/>
        <v>20</v>
      </c>
    </row>
    <row r="8" spans="1:23" ht="14.25" hidden="1" customHeight="1" x14ac:dyDescent="0.3">
      <c r="A8" s="15">
        <v>43960</v>
      </c>
      <c r="B8" s="16" t="s">
        <v>10</v>
      </c>
      <c r="C8" s="17">
        <v>31147.5</v>
      </c>
      <c r="D8" s="18">
        <v>2831019</v>
      </c>
      <c r="E8" s="5" cm="1">
        <f t="array" ref="E8">INDEX(Лист2!$C:$C,MATCH(1,(Лист2!$A:$A=A8)*(Лист2!$B:$B=B8),0))</f>
        <v>21</v>
      </c>
      <c r="F8" s="30" cm="1">
        <f t="array" ref="F8">INDEX(Лист2!$D:$D,MATCH(1,(Лист2!$A:$A=A8)*(Лист2!$B:$B=B8),0))</f>
        <v>1735</v>
      </c>
      <c r="G8" s="5" cm="1">
        <f t="array" ref="G8">INDEX(Лист2!$E:$E,MATCH(1,(Лист2!$A:$A=A8)*(Лист2!$B:$B=B8),0))</f>
        <v>1568</v>
      </c>
      <c r="H8" s="9">
        <f t="shared" si="0"/>
        <v>134810.42857142858</v>
      </c>
      <c r="I8">
        <f t="shared" si="1"/>
        <v>19</v>
      </c>
    </row>
    <row r="9" spans="1:23" ht="14.25" hidden="1" customHeight="1" x14ac:dyDescent="0.3">
      <c r="A9" s="19">
        <v>43955</v>
      </c>
      <c r="B9" s="20" t="s">
        <v>10</v>
      </c>
      <c r="C9" s="21">
        <v>25566</v>
      </c>
      <c r="D9" s="22">
        <v>2372310</v>
      </c>
      <c r="E9" s="5" cm="1">
        <f t="array" ref="E9">INDEX(Лист2!$C:$C,MATCH(1,(Лист2!$A:$A=A9)*(Лист2!$B:$B=B9),0))</f>
        <v>20</v>
      </c>
      <c r="F9" s="30" cm="1">
        <f t="array" ref="F9">INDEX(Лист2!$D:$D,MATCH(1,(Лист2!$A:$A=A9)*(Лист2!$B:$B=B9),0))</f>
        <v>1519</v>
      </c>
      <c r="G9" s="5" cm="1">
        <f t="array" ref="G9">INDEX(Лист2!$E:$E,MATCH(1,(Лист2!$A:$A=A9)*(Лист2!$B:$B=B9),0))</f>
        <v>1372</v>
      </c>
      <c r="H9" s="9">
        <f t="shared" si="0"/>
        <v>118615.5</v>
      </c>
      <c r="I9">
        <f t="shared" si="1"/>
        <v>19</v>
      </c>
    </row>
    <row r="10" spans="1:23" ht="14.25" hidden="1" customHeight="1" x14ac:dyDescent="0.3">
      <c r="A10" s="15">
        <v>43950</v>
      </c>
      <c r="B10" s="16" t="s">
        <v>10</v>
      </c>
      <c r="C10" s="17">
        <v>29319</v>
      </c>
      <c r="D10" s="18">
        <v>2623480.5</v>
      </c>
      <c r="E10" s="5" cm="1">
        <f t="array" ref="E10">INDEX(Лист2!$C:$C,MATCH(1,(Лист2!$A:$A=A10)*(Лист2!$B:$B=B10),0))</f>
        <v>18</v>
      </c>
      <c r="F10" s="30" cm="1">
        <f t="array" ref="F10">INDEX(Лист2!$D:$D,MATCH(1,(Лист2!$A:$A=A10)*(Лист2!$B:$B=B10),0))</f>
        <v>1684</v>
      </c>
      <c r="G10" s="5" cm="1">
        <f t="array" ref="G10">INDEX(Лист2!$E:$E,MATCH(1,(Лист2!$A:$A=A10)*(Лист2!$B:$B=B10),0))</f>
        <v>1528</v>
      </c>
      <c r="H10" s="9">
        <f t="shared" si="0"/>
        <v>145748.91666666666</v>
      </c>
      <c r="I10">
        <f t="shared" si="1"/>
        <v>18</v>
      </c>
    </row>
    <row r="11" spans="1:23" ht="14.25" hidden="1" customHeight="1" x14ac:dyDescent="0.3">
      <c r="A11" s="19">
        <v>43953</v>
      </c>
      <c r="B11" s="20" t="s">
        <v>10</v>
      </c>
      <c r="C11" s="21">
        <v>29031</v>
      </c>
      <c r="D11" s="22">
        <v>2711247</v>
      </c>
      <c r="E11" s="5" cm="1">
        <f t="array" ref="E11">INDEX(Лист2!$C:$C,MATCH(1,(Лист2!$A:$A=A11)*(Лист2!$B:$B=B11),0))</f>
        <v>18</v>
      </c>
      <c r="F11" s="30" cm="1">
        <f t="array" ref="F11">INDEX(Лист2!$D:$D,MATCH(1,(Лист2!$A:$A=A11)*(Лист2!$B:$B=B11),0))</f>
        <v>1708</v>
      </c>
      <c r="G11" s="5" cm="1">
        <f t="array" ref="G11">INDEX(Лист2!$E:$E,MATCH(1,(Лист2!$A:$A=A11)*(Лист2!$B:$B=B11),0))</f>
        <v>1534</v>
      </c>
      <c r="H11" s="9">
        <f t="shared" si="0"/>
        <v>150624.83333333334</v>
      </c>
      <c r="I11">
        <f t="shared" si="1"/>
        <v>18</v>
      </c>
    </row>
    <row r="12" spans="1:23" ht="14.25" hidden="1" customHeight="1" x14ac:dyDescent="0.3">
      <c r="A12" s="15">
        <v>43977</v>
      </c>
      <c r="B12" s="16" t="s">
        <v>10</v>
      </c>
      <c r="C12" s="17">
        <v>33423</v>
      </c>
      <c r="D12" s="18">
        <v>2970330</v>
      </c>
      <c r="E12" s="5" cm="1">
        <f t="array" ref="E12">INDEX(Лист2!$C:$C,MATCH(1,(Лист2!$A:$A=A12)*(Лист2!$B:$B=B12),0))</f>
        <v>20</v>
      </c>
      <c r="F12" s="30" cm="1">
        <f t="array" ref="F12">INDEX(Лист2!$D:$D,MATCH(1,(Лист2!$A:$A=A12)*(Лист2!$B:$B=B12),0))</f>
        <v>2044</v>
      </c>
      <c r="G12" s="5" cm="1">
        <f t="array" ref="G12">INDEX(Лист2!$E:$E,MATCH(1,(Лист2!$A:$A=A12)*(Лист2!$B:$B=B12),0))</f>
        <v>1863</v>
      </c>
      <c r="H12" s="9">
        <f t="shared" si="0"/>
        <v>148516.5</v>
      </c>
      <c r="I12">
        <f t="shared" si="1"/>
        <v>22</v>
      </c>
    </row>
    <row r="13" spans="1:23" ht="14.25" hidden="1" customHeight="1" x14ac:dyDescent="0.3">
      <c r="A13" s="19">
        <v>43952</v>
      </c>
      <c r="B13" s="20" t="s">
        <v>10</v>
      </c>
      <c r="C13" s="21">
        <v>32487</v>
      </c>
      <c r="D13" s="22">
        <v>3031254</v>
      </c>
      <c r="E13" s="5" cm="1">
        <f t="array" ref="E13">INDEX(Лист2!$C:$C,MATCH(1,(Лист2!$A:$A=A13)*(Лист2!$B:$B=B13),0))</f>
        <v>18</v>
      </c>
      <c r="F13" s="30" cm="1">
        <f t="array" ref="F13">INDEX(Лист2!$D:$D,MATCH(1,(Лист2!$A:$A=A13)*(Лист2!$B:$B=B13),0))</f>
        <v>1826</v>
      </c>
      <c r="G13" s="5" cm="1">
        <f t="array" ref="G13">INDEX(Лист2!$E:$E,MATCH(1,(Лист2!$A:$A=A13)*(Лист2!$B:$B=B13),0))</f>
        <v>1633</v>
      </c>
      <c r="H13" s="9">
        <f t="shared" si="0"/>
        <v>168403</v>
      </c>
      <c r="I13">
        <f t="shared" si="1"/>
        <v>18</v>
      </c>
    </row>
    <row r="14" spans="1:23" ht="14.25" hidden="1" customHeight="1" x14ac:dyDescent="0.3">
      <c r="A14" s="15">
        <v>43963</v>
      </c>
      <c r="B14" s="16" t="s">
        <v>10</v>
      </c>
      <c r="C14" s="17">
        <v>28219.5</v>
      </c>
      <c r="D14" s="18">
        <v>2595778.5</v>
      </c>
      <c r="E14" s="5" cm="1">
        <f t="array" ref="E14">INDEX(Лист2!$C:$C,MATCH(1,(Лист2!$A:$A=A14)*(Лист2!$B:$B=B14),0))</f>
        <v>21</v>
      </c>
      <c r="F14" s="30" cm="1">
        <f t="array" ref="F14">INDEX(Лист2!$D:$D,MATCH(1,(Лист2!$A:$A=A14)*(Лист2!$B:$B=B14),0))</f>
        <v>1656</v>
      </c>
      <c r="G14" s="5" cm="1">
        <f t="array" ref="G14">INDEX(Лист2!$E:$E,MATCH(1,(Лист2!$A:$A=A14)*(Лист2!$B:$B=B14),0))</f>
        <v>1516</v>
      </c>
      <c r="H14" s="9">
        <f t="shared" si="0"/>
        <v>123608.5</v>
      </c>
      <c r="I14">
        <f t="shared" si="1"/>
        <v>20</v>
      </c>
    </row>
    <row r="15" spans="1:23" ht="14.25" hidden="1" customHeight="1" x14ac:dyDescent="0.3">
      <c r="A15" s="19">
        <v>43972</v>
      </c>
      <c r="B15" s="20" t="s">
        <v>10</v>
      </c>
      <c r="C15" s="21">
        <v>31272</v>
      </c>
      <c r="D15" s="22">
        <v>2744382</v>
      </c>
      <c r="E15" s="5" cm="1">
        <f t="array" ref="E15">INDEX(Лист2!$C:$C,MATCH(1,(Лист2!$A:$A=A15)*(Лист2!$B:$B=B15),0))</f>
        <v>21</v>
      </c>
      <c r="F15" s="30" cm="1">
        <f t="array" ref="F15">INDEX(Лист2!$D:$D,MATCH(1,(Лист2!$A:$A=A15)*(Лист2!$B:$B=B15),0))</f>
        <v>1787</v>
      </c>
      <c r="G15" s="5" cm="1">
        <f t="array" ref="G15">INDEX(Лист2!$E:$E,MATCH(1,(Лист2!$A:$A=A15)*(Лист2!$B:$B=B15),0))</f>
        <v>1626</v>
      </c>
      <c r="H15" s="9">
        <f t="shared" si="0"/>
        <v>130684.85714285714</v>
      </c>
      <c r="I15">
        <f t="shared" si="1"/>
        <v>21</v>
      </c>
    </row>
    <row r="16" spans="1:23" ht="14.25" hidden="1" customHeight="1" x14ac:dyDescent="0.3">
      <c r="A16" s="15">
        <v>43971</v>
      </c>
      <c r="B16" s="16" t="s">
        <v>10</v>
      </c>
      <c r="C16" s="17">
        <v>34077</v>
      </c>
      <c r="D16" s="18">
        <v>2929330.5</v>
      </c>
      <c r="E16" s="5" cm="1">
        <f t="array" ref="E16">INDEX(Лист2!$C:$C,MATCH(1,(Лист2!$A:$A=A16)*(Лист2!$B:$B=B16),0))</f>
        <v>21</v>
      </c>
      <c r="F16" s="30" cm="1">
        <f t="array" ref="F16">INDEX(Лист2!$D:$D,MATCH(1,(Лист2!$A:$A=A16)*(Лист2!$B:$B=B16),0))</f>
        <v>1921</v>
      </c>
      <c r="G16" s="5" cm="1">
        <f t="array" ref="G16">INDEX(Лист2!$E:$E,MATCH(1,(Лист2!$A:$A=A16)*(Лист2!$B:$B=B16),0))</f>
        <v>1767</v>
      </c>
      <c r="H16" s="9">
        <f t="shared" si="0"/>
        <v>139491.92857142858</v>
      </c>
      <c r="I16">
        <f t="shared" si="1"/>
        <v>21</v>
      </c>
    </row>
    <row r="17" spans="1:9" ht="14.25" hidden="1" customHeight="1" x14ac:dyDescent="0.3">
      <c r="A17" s="19">
        <v>43956</v>
      </c>
      <c r="B17" s="20" t="s">
        <v>10</v>
      </c>
      <c r="C17" s="21">
        <v>31566</v>
      </c>
      <c r="D17" s="22">
        <v>2906763</v>
      </c>
      <c r="E17" s="5" cm="1">
        <f t="array" ref="E17">INDEX(Лист2!$C:$C,MATCH(1,(Лист2!$A:$A=A17)*(Лист2!$B:$B=B17),0))</f>
        <v>20</v>
      </c>
      <c r="F17" s="30" cm="1">
        <f t="array" ref="F17">INDEX(Лист2!$D:$D,MATCH(1,(Лист2!$A:$A=A17)*(Лист2!$B:$B=B17),0))</f>
        <v>1773</v>
      </c>
      <c r="G17" s="5" cm="1">
        <f t="array" ref="G17">INDEX(Лист2!$E:$E,MATCH(1,(Лист2!$A:$A=A17)*(Лист2!$B:$B=B17),0))</f>
        <v>1604</v>
      </c>
      <c r="H17" s="9">
        <f t="shared" si="0"/>
        <v>145338.15</v>
      </c>
      <c r="I17">
        <f t="shared" si="1"/>
        <v>19</v>
      </c>
    </row>
    <row r="18" spans="1:9" ht="14.25" hidden="1" customHeight="1" x14ac:dyDescent="0.3">
      <c r="A18" s="15">
        <v>43949</v>
      </c>
      <c r="B18" s="16" t="s">
        <v>10</v>
      </c>
      <c r="C18" s="17">
        <v>26940</v>
      </c>
      <c r="D18" s="18">
        <v>2411587.5</v>
      </c>
      <c r="E18" s="5" cm="1">
        <f t="array" ref="E18">INDEX(Лист2!$C:$C,MATCH(1,(Лист2!$A:$A=A18)*(Лист2!$B:$B=B18),0))</f>
        <v>18</v>
      </c>
      <c r="F18" s="30" cm="1">
        <f t="array" ref="F18">INDEX(Лист2!$D:$D,MATCH(1,(Лист2!$A:$A=A18)*(Лист2!$B:$B=B18),0))</f>
        <v>1539</v>
      </c>
      <c r="G18" s="5" cm="1">
        <f t="array" ref="G18">INDEX(Лист2!$E:$E,MATCH(1,(Лист2!$A:$A=A18)*(Лист2!$B:$B=B18),0))</f>
        <v>1404</v>
      </c>
      <c r="H18" s="9">
        <f t="shared" si="0"/>
        <v>133977.08333333334</v>
      </c>
      <c r="I18">
        <f t="shared" si="1"/>
        <v>18</v>
      </c>
    </row>
    <row r="19" spans="1:9" ht="14.25" hidden="1" customHeight="1" x14ac:dyDescent="0.3">
      <c r="A19" s="19">
        <v>43964</v>
      </c>
      <c r="B19" s="20" t="s">
        <v>10</v>
      </c>
      <c r="C19" s="21">
        <v>29241</v>
      </c>
      <c r="D19" s="22">
        <v>2629782</v>
      </c>
      <c r="E19" s="5" cm="1">
        <f t="array" ref="E19">INDEX(Лист2!$C:$C,MATCH(1,(Лист2!$A:$A=A19)*(Лист2!$B:$B=B19),0))</f>
        <v>21</v>
      </c>
      <c r="F19" s="30" cm="1">
        <f t="array" ref="F19">INDEX(Лист2!$D:$D,MATCH(1,(Лист2!$A:$A=A19)*(Лист2!$B:$B=B19),0))</f>
        <v>1698</v>
      </c>
      <c r="G19" s="5" cm="1">
        <f t="array" ref="G19">INDEX(Лист2!$E:$E,MATCH(1,(Лист2!$A:$A=A19)*(Лист2!$B:$B=B19),0))</f>
        <v>1554</v>
      </c>
      <c r="H19" s="9">
        <f t="shared" si="0"/>
        <v>125227.71428571429</v>
      </c>
      <c r="I19">
        <f t="shared" si="1"/>
        <v>20</v>
      </c>
    </row>
    <row r="20" spans="1:9" ht="14.25" hidden="1" customHeight="1" x14ac:dyDescent="0.3">
      <c r="A20" s="15">
        <v>43954</v>
      </c>
      <c r="B20" s="16" t="s">
        <v>10</v>
      </c>
      <c r="C20" s="17">
        <v>26082</v>
      </c>
      <c r="D20" s="18">
        <v>2434914</v>
      </c>
      <c r="E20" s="5" cm="1">
        <f t="array" ref="E20">INDEX(Лист2!$C:$C,MATCH(1,(Лист2!$A:$A=A20)*(Лист2!$B:$B=B20),0))</f>
        <v>20</v>
      </c>
      <c r="F20" s="30" cm="1">
        <f t="array" ref="F20">INDEX(Лист2!$D:$D,MATCH(1,(Лист2!$A:$A=A20)*(Лист2!$B:$B=B20),0))</f>
        <v>1520</v>
      </c>
      <c r="G20" s="5" cm="1">
        <f t="array" ref="G20">INDEX(Лист2!$E:$E,MATCH(1,(Лист2!$A:$A=A20)*(Лист2!$B:$B=B20),0))</f>
        <v>1373</v>
      </c>
      <c r="H20" s="9">
        <f t="shared" si="0"/>
        <v>121745.7</v>
      </c>
      <c r="I20">
        <f t="shared" si="1"/>
        <v>18</v>
      </c>
    </row>
    <row r="21" spans="1:9" ht="14.25" hidden="1" customHeight="1" x14ac:dyDescent="0.3">
      <c r="A21" s="19">
        <v>43957</v>
      </c>
      <c r="B21" s="20" t="s">
        <v>10</v>
      </c>
      <c r="C21" s="21">
        <v>32511</v>
      </c>
      <c r="D21" s="22">
        <v>2938623</v>
      </c>
      <c r="E21" s="5" cm="1">
        <f t="array" ref="E21">INDEX(Лист2!$C:$C,MATCH(1,(Лист2!$A:$A=A21)*(Лист2!$B:$B=B21),0))</f>
        <v>20</v>
      </c>
      <c r="F21" s="30" cm="1">
        <f t="array" ref="F21">INDEX(Лист2!$D:$D,MATCH(1,(Лист2!$A:$A=A21)*(Лист2!$B:$B=B21),0))</f>
        <v>1784</v>
      </c>
      <c r="G21" s="5" cm="1">
        <f t="array" ref="G21">INDEX(Лист2!$E:$E,MATCH(1,(Лист2!$A:$A=A21)*(Лист2!$B:$B=B21),0))</f>
        <v>1632</v>
      </c>
      <c r="H21" s="9">
        <f t="shared" si="0"/>
        <v>146931.15</v>
      </c>
      <c r="I21">
        <f t="shared" si="1"/>
        <v>19</v>
      </c>
    </row>
    <row r="22" spans="1:9" ht="14.25" hidden="1" customHeight="1" x14ac:dyDescent="0.3">
      <c r="A22" s="15">
        <v>43974</v>
      </c>
      <c r="B22" s="16" t="s">
        <v>10</v>
      </c>
      <c r="C22" s="17">
        <v>42703.5</v>
      </c>
      <c r="D22" s="18">
        <v>3628726.5</v>
      </c>
      <c r="E22" s="5" cm="1">
        <f t="array" ref="E22">INDEX(Лист2!$C:$C,MATCH(1,(Лист2!$A:$A=A22)*(Лист2!$B:$B=B22),0))</f>
        <v>21</v>
      </c>
      <c r="F22" s="30" cm="1">
        <f t="array" ref="F22">INDEX(Лист2!$D:$D,MATCH(1,(Лист2!$A:$A=A22)*(Лист2!$B:$B=B22),0))</f>
        <v>2340</v>
      </c>
      <c r="G22" s="5" cm="1">
        <f t="array" ref="G22">INDEX(Лист2!$E:$E,MATCH(1,(Лист2!$A:$A=A22)*(Лист2!$B:$B=B22),0))</f>
        <v>2146</v>
      </c>
      <c r="H22" s="9">
        <f t="shared" si="0"/>
        <v>172796.5</v>
      </c>
      <c r="I22">
        <f t="shared" si="1"/>
        <v>21</v>
      </c>
    </row>
    <row r="23" spans="1:9" ht="14.25" hidden="1" customHeight="1" x14ac:dyDescent="0.3">
      <c r="A23" s="19">
        <v>43976</v>
      </c>
      <c r="B23" s="20" t="s">
        <v>10</v>
      </c>
      <c r="C23" s="21">
        <v>35592</v>
      </c>
      <c r="D23" s="22">
        <v>3176580</v>
      </c>
      <c r="E23" s="5" cm="1">
        <f t="array" ref="E23">INDEX(Лист2!$C:$C,MATCH(1,(Лист2!$A:$A=A23)*(Лист2!$B:$B=B23),0))</f>
        <v>20</v>
      </c>
      <c r="F23" s="30" cm="1">
        <f t="array" ref="F23">INDEX(Лист2!$D:$D,MATCH(1,(Лист2!$A:$A=A23)*(Лист2!$B:$B=B23),0))</f>
        <v>2087</v>
      </c>
      <c r="G23" s="5" cm="1">
        <f t="array" ref="G23">INDEX(Лист2!$E:$E,MATCH(1,(Лист2!$A:$A=A23)*(Лист2!$B:$B=B23),0))</f>
        <v>1914</v>
      </c>
      <c r="H23" s="9">
        <f t="shared" si="0"/>
        <v>158829</v>
      </c>
      <c r="I23">
        <f t="shared" si="1"/>
        <v>22</v>
      </c>
    </row>
    <row r="24" spans="1:9" ht="14.25" hidden="1" customHeight="1" x14ac:dyDescent="0.3">
      <c r="A24" s="15">
        <v>43951</v>
      </c>
      <c r="B24" s="16" t="s">
        <v>10</v>
      </c>
      <c r="C24" s="17">
        <v>30445.5</v>
      </c>
      <c r="D24" s="18">
        <v>2817196.5</v>
      </c>
      <c r="E24" s="5" cm="1">
        <f t="array" ref="E24">INDEX(Лист2!$C:$C,MATCH(1,(Лист2!$A:$A=A24)*(Лист2!$B:$B=B24),0))</f>
        <v>19</v>
      </c>
      <c r="F24" s="30" cm="1">
        <f t="array" ref="F24">INDEX(Лист2!$D:$D,MATCH(1,(Лист2!$A:$A=A24)*(Лист2!$B:$B=B24),0))</f>
        <v>1712</v>
      </c>
      <c r="G24" s="5" cm="1">
        <f t="array" ref="G24">INDEX(Лист2!$E:$E,MATCH(1,(Лист2!$A:$A=A24)*(Лист2!$B:$B=B24),0))</f>
        <v>1552</v>
      </c>
      <c r="H24" s="9">
        <f t="shared" si="0"/>
        <v>148273.5</v>
      </c>
      <c r="I24">
        <f t="shared" si="1"/>
        <v>18</v>
      </c>
    </row>
    <row r="25" spans="1:9" ht="14.25" hidden="1" customHeight="1" x14ac:dyDescent="0.3">
      <c r="A25" s="19">
        <v>43961</v>
      </c>
      <c r="B25" s="20" t="s">
        <v>10</v>
      </c>
      <c r="C25" s="21">
        <v>36619.5</v>
      </c>
      <c r="D25" s="22">
        <v>3312967.5</v>
      </c>
      <c r="E25" s="5" cm="1">
        <f t="array" ref="E25">INDEX(Лист2!$C:$C,MATCH(1,(Лист2!$A:$A=A25)*(Лист2!$B:$B=B25),0))</f>
        <v>21</v>
      </c>
      <c r="F25" s="30" cm="1">
        <f t="array" ref="F25">INDEX(Лист2!$D:$D,MATCH(1,(Лист2!$A:$A=A25)*(Лист2!$B:$B=B25),0))</f>
        <v>2016</v>
      </c>
      <c r="G25" s="5" cm="1">
        <f t="array" ref="G25">INDEX(Лист2!$E:$E,MATCH(1,(Лист2!$A:$A=A25)*(Лист2!$B:$B=B25),0))</f>
        <v>1846</v>
      </c>
      <c r="H25" s="9">
        <f t="shared" si="0"/>
        <v>157760.35714285713</v>
      </c>
      <c r="I25">
        <f t="shared" si="1"/>
        <v>19</v>
      </c>
    </row>
    <row r="26" spans="1:9" ht="14.25" hidden="1" customHeight="1" x14ac:dyDescent="0.3">
      <c r="A26" s="15">
        <v>43959</v>
      </c>
      <c r="B26" s="16" t="s">
        <v>10</v>
      </c>
      <c r="C26" s="17">
        <v>29409</v>
      </c>
      <c r="D26" s="18">
        <v>2645160</v>
      </c>
      <c r="E26" s="5" cm="1">
        <f t="array" ref="E26">INDEX(Лист2!$C:$C,MATCH(1,(Лист2!$A:$A=A26)*(Лист2!$B:$B=B26),0))</f>
        <v>21</v>
      </c>
      <c r="F26" s="30" cm="1">
        <f t="array" ref="F26">INDEX(Лист2!$D:$D,MATCH(1,(Лист2!$A:$A=A26)*(Лист2!$B:$B=B26),0))</f>
        <v>1646</v>
      </c>
      <c r="G26" s="5" cm="1">
        <f t="array" ref="G26">INDEX(Лист2!$E:$E,MATCH(1,(Лист2!$A:$A=A26)*(Лист2!$B:$B=B26),0))</f>
        <v>1492</v>
      </c>
      <c r="H26" s="9">
        <f t="shared" si="0"/>
        <v>125960</v>
      </c>
      <c r="I26">
        <f t="shared" si="1"/>
        <v>19</v>
      </c>
    </row>
    <row r="27" spans="1:9" ht="14.25" hidden="1" customHeight="1" x14ac:dyDescent="0.3">
      <c r="A27" s="19">
        <v>43958</v>
      </c>
      <c r="B27" s="20" t="s">
        <v>10</v>
      </c>
      <c r="C27" s="21">
        <v>27018</v>
      </c>
      <c r="D27" s="22">
        <v>2472213</v>
      </c>
      <c r="E27" s="5" cm="1">
        <f t="array" ref="E27">INDEX(Лист2!$C:$C,MATCH(1,(Лист2!$A:$A=A27)*(Лист2!$B:$B=B27),0))</f>
        <v>21</v>
      </c>
      <c r="F27" s="30" cm="1">
        <f t="array" ref="F27">INDEX(Лист2!$D:$D,MATCH(1,(Лист2!$A:$A=A27)*(Лист2!$B:$B=B27),0))</f>
        <v>1542</v>
      </c>
      <c r="G27" s="5" cm="1">
        <f t="array" ref="G27">INDEX(Лист2!$E:$E,MATCH(1,(Лист2!$A:$A=A27)*(Лист2!$B:$B=B27),0))</f>
        <v>1405</v>
      </c>
      <c r="H27" s="9">
        <f t="shared" si="0"/>
        <v>117724.42857142857</v>
      </c>
      <c r="I27">
        <f t="shared" si="1"/>
        <v>19</v>
      </c>
    </row>
    <row r="28" spans="1:9" ht="14.25" hidden="1" customHeight="1" x14ac:dyDescent="0.3">
      <c r="A28" s="15">
        <v>43975</v>
      </c>
      <c r="B28" s="16" t="s">
        <v>10</v>
      </c>
      <c r="C28" s="17">
        <v>34303.5</v>
      </c>
      <c r="D28" s="18">
        <v>2924746.5</v>
      </c>
      <c r="E28" s="5" cm="1">
        <f t="array" ref="E28">INDEX(Лист2!$C:$C,MATCH(1,(Лист2!$A:$A=A28)*(Лист2!$B:$B=B28),0))</f>
        <v>20</v>
      </c>
      <c r="F28" s="30" cm="1">
        <f t="array" ref="F28">INDEX(Лист2!$D:$D,MATCH(1,(Лист2!$A:$A=A28)*(Лист2!$B:$B=B28),0))</f>
        <v>1999</v>
      </c>
      <c r="G28" s="5" cm="1">
        <f t="array" ref="G28">INDEX(Лист2!$E:$E,MATCH(1,(Лист2!$A:$A=A28)*(Лист2!$B:$B=B28),0))</f>
        <v>1829</v>
      </c>
      <c r="H28" s="9">
        <f t="shared" si="0"/>
        <v>146237.32500000001</v>
      </c>
      <c r="I28">
        <f t="shared" si="1"/>
        <v>21</v>
      </c>
    </row>
    <row r="29" spans="1:9" ht="14.25" hidden="1" customHeight="1" x14ac:dyDescent="0.3">
      <c r="A29" s="19">
        <v>43982</v>
      </c>
      <c r="B29" s="20" t="s">
        <v>10</v>
      </c>
      <c r="C29" s="21">
        <v>36999</v>
      </c>
      <c r="D29" s="22">
        <v>3473895</v>
      </c>
      <c r="E29" s="5" cm="1">
        <f t="array" ref="E29">INDEX(Лист2!$C:$C,MATCH(1,(Лист2!$A:$A=A29)*(Лист2!$B:$B=B29),0))</f>
        <v>21</v>
      </c>
      <c r="F29" s="30" cm="1">
        <f t="array" ref="F29">INDEX(Лист2!$D:$D,MATCH(1,(Лист2!$A:$A=A29)*(Лист2!$B:$B=B29),0))</f>
        <v>2271</v>
      </c>
      <c r="G29" s="5" cm="1">
        <f t="array" ref="G29">INDEX(Лист2!$E:$E,MATCH(1,(Лист2!$A:$A=A29)*(Лист2!$B:$B=B29),0))</f>
        <v>2085</v>
      </c>
      <c r="H29" s="9">
        <f t="shared" si="0"/>
        <v>165423.57142857142</v>
      </c>
      <c r="I29">
        <f t="shared" si="1"/>
        <v>22</v>
      </c>
    </row>
    <row r="30" spans="1:9" ht="14.25" hidden="1" customHeight="1" x14ac:dyDescent="0.3">
      <c r="A30" s="15">
        <v>43981</v>
      </c>
      <c r="B30" s="16" t="s">
        <v>10</v>
      </c>
      <c r="C30" s="17">
        <v>44001</v>
      </c>
      <c r="D30" s="18">
        <v>3921784.5</v>
      </c>
      <c r="E30" s="5" cm="1">
        <f t="array" ref="E30">INDEX(Лист2!$C:$C,MATCH(1,(Лист2!$A:$A=A30)*(Лист2!$B:$B=B30),0))</f>
        <v>20</v>
      </c>
      <c r="F30" s="30" cm="1">
        <f t="array" ref="F30">INDEX(Лист2!$D:$D,MATCH(1,(Лист2!$A:$A=A30)*(Лист2!$B:$B=B30),0))</f>
        <v>2597</v>
      </c>
      <c r="G30" s="5" cm="1">
        <f t="array" ref="G30">INDEX(Лист2!$E:$E,MATCH(1,(Лист2!$A:$A=A30)*(Лист2!$B:$B=B30),0))</f>
        <v>2376</v>
      </c>
      <c r="H30" s="9">
        <f t="shared" si="0"/>
        <v>196089.22500000001</v>
      </c>
      <c r="I30">
        <f t="shared" si="1"/>
        <v>22</v>
      </c>
    </row>
    <row r="31" spans="1:9" ht="14.25" hidden="1" customHeight="1" x14ac:dyDescent="0.3">
      <c r="A31" s="19">
        <v>43979</v>
      </c>
      <c r="B31" s="20" t="s">
        <v>10</v>
      </c>
      <c r="C31" s="21">
        <v>30982.5</v>
      </c>
      <c r="D31" s="22">
        <v>2827773</v>
      </c>
      <c r="E31" s="5" cm="1">
        <f t="array" ref="E31">INDEX(Лист2!$C:$C,MATCH(1,(Лист2!$A:$A=A31)*(Лист2!$B:$B=B31),0))</f>
        <v>20</v>
      </c>
      <c r="F31" s="30" cm="1">
        <f t="array" ref="F31">INDEX(Лист2!$D:$D,MATCH(1,(Лист2!$A:$A=A31)*(Лист2!$B:$B=B31),0))</f>
        <v>1886</v>
      </c>
      <c r="G31" s="5" cm="1">
        <f t="array" ref="G31">INDEX(Лист2!$E:$E,MATCH(1,(Лист2!$A:$A=A31)*(Лист2!$B:$B=B31),0))</f>
        <v>1736</v>
      </c>
      <c r="H31" s="9">
        <f t="shared" si="0"/>
        <v>141388.65</v>
      </c>
      <c r="I31">
        <f t="shared" si="1"/>
        <v>22</v>
      </c>
    </row>
    <row r="32" spans="1:9" ht="14.25" hidden="1" customHeight="1" x14ac:dyDescent="0.3">
      <c r="A32" s="15">
        <v>43967</v>
      </c>
      <c r="B32" s="16" t="s">
        <v>11</v>
      </c>
      <c r="C32" s="17">
        <v>88063.5</v>
      </c>
      <c r="D32" s="18">
        <v>7583758.5</v>
      </c>
      <c r="E32" s="5" cm="1">
        <f t="array" ref="E32">INDEX(Лист2!$C:$C,MATCH(1,(Лист2!$A:$A=A32)*(Лист2!$B:$B=B32),0))</f>
        <v>31</v>
      </c>
      <c r="F32" s="30" cm="1">
        <f t="array" ref="F32">INDEX(Лист2!$D:$D,MATCH(1,(Лист2!$A:$A=A32)*(Лист2!$B:$B=B32),0))</f>
        <v>5593</v>
      </c>
      <c r="G32" s="5" cm="1">
        <f t="array" ref="G32">INDEX(Лист2!$E:$E,MATCH(1,(Лист2!$A:$A=A32)*(Лист2!$B:$B=B32),0))</f>
        <v>5177</v>
      </c>
      <c r="H32" s="9">
        <f t="shared" si="0"/>
        <v>244637.37096774194</v>
      </c>
      <c r="I32">
        <f t="shared" si="1"/>
        <v>20</v>
      </c>
    </row>
    <row r="33" spans="1:9" ht="14.25" hidden="1" customHeight="1" x14ac:dyDescent="0.3">
      <c r="A33" s="19">
        <v>43970</v>
      </c>
      <c r="B33" s="20" t="s">
        <v>11</v>
      </c>
      <c r="C33" s="21">
        <v>84024</v>
      </c>
      <c r="D33" s="22">
        <v>6815511</v>
      </c>
      <c r="E33" s="5" cm="1">
        <f t="array" ref="E33">INDEX(Лист2!$C:$C,MATCH(1,(Лист2!$A:$A=A33)*(Лист2!$B:$B=B33),0))</f>
        <v>31</v>
      </c>
      <c r="F33" s="30" cm="1">
        <f t="array" ref="F33">INDEX(Лист2!$D:$D,MATCH(1,(Лист2!$A:$A=A33)*(Лист2!$B:$B=B33),0))</f>
        <v>5389</v>
      </c>
      <c r="G33" s="5" cm="1">
        <f t="array" ref="G33">INDEX(Лист2!$E:$E,MATCH(1,(Лист2!$A:$A=A33)*(Лист2!$B:$B=B33),0))</f>
        <v>5024</v>
      </c>
      <c r="H33" s="9">
        <f t="shared" si="0"/>
        <v>219855.19354838709</v>
      </c>
      <c r="I33">
        <f t="shared" si="1"/>
        <v>21</v>
      </c>
    </row>
    <row r="34" spans="1:9" ht="14.25" hidden="1" customHeight="1" x14ac:dyDescent="0.3">
      <c r="A34" s="15">
        <v>43968</v>
      </c>
      <c r="B34" s="16" t="s">
        <v>11</v>
      </c>
      <c r="C34" s="17">
        <v>78057</v>
      </c>
      <c r="D34" s="18">
        <v>6774946.5</v>
      </c>
      <c r="E34" s="5" cm="1">
        <f t="array" ref="E34">INDEX(Лист2!$C:$C,MATCH(1,(Лист2!$A:$A=A34)*(Лист2!$B:$B=B34),0))</f>
        <v>31</v>
      </c>
      <c r="F34" s="30" cm="1">
        <f t="array" ref="F34">INDEX(Лист2!$D:$D,MATCH(1,(Лист2!$A:$A=A34)*(Лист2!$B:$B=B34),0))</f>
        <v>5206</v>
      </c>
      <c r="G34" s="5" cm="1">
        <f t="array" ref="G34">INDEX(Лист2!$E:$E,MATCH(1,(Лист2!$A:$A=A34)*(Лист2!$B:$B=B34),0))</f>
        <v>4843</v>
      </c>
      <c r="H34" s="9">
        <f t="shared" si="0"/>
        <v>218546.66129032258</v>
      </c>
      <c r="I34">
        <f t="shared" si="1"/>
        <v>20</v>
      </c>
    </row>
    <row r="35" spans="1:9" ht="14.25" hidden="1" customHeight="1" x14ac:dyDescent="0.3">
      <c r="A35" s="19">
        <v>43960</v>
      </c>
      <c r="B35" s="20" t="s">
        <v>11</v>
      </c>
      <c r="C35" s="21">
        <v>69720</v>
      </c>
      <c r="D35" s="22">
        <v>6264933</v>
      </c>
      <c r="E35" s="5" cm="1">
        <f t="array" ref="E35">INDEX(Лист2!$C:$C,MATCH(1,(Лист2!$A:$A=A35)*(Лист2!$B:$B=B35),0))</f>
        <v>31</v>
      </c>
      <c r="F35" s="30" cm="1">
        <f t="array" ref="F35">INDEX(Лист2!$D:$D,MATCH(1,(Лист2!$A:$A=A35)*(Лист2!$B:$B=B35),0))</f>
        <v>4556</v>
      </c>
      <c r="G35" s="5" cm="1">
        <f t="array" ref="G35">INDEX(Лист2!$E:$E,MATCH(1,(Лист2!$A:$A=A35)*(Лист2!$B:$B=B35),0))</f>
        <v>4220</v>
      </c>
      <c r="H35" s="9">
        <f t="shared" si="0"/>
        <v>202094.61290322582</v>
      </c>
      <c r="I35">
        <f t="shared" si="1"/>
        <v>19</v>
      </c>
    </row>
    <row r="36" spans="1:9" ht="14.25" hidden="1" customHeight="1" x14ac:dyDescent="0.3">
      <c r="A36" s="15">
        <v>43955</v>
      </c>
      <c r="B36" s="16" t="s">
        <v>11</v>
      </c>
      <c r="C36" s="17">
        <v>72928.5</v>
      </c>
      <c r="D36" s="18">
        <v>6642249</v>
      </c>
      <c r="E36" s="5" cm="1">
        <f t="array" ref="E36">INDEX(Лист2!$C:$C,MATCH(1,(Лист2!$A:$A=A36)*(Лист2!$B:$B=B36),0))</f>
        <v>31</v>
      </c>
      <c r="F36" s="30" cm="1">
        <f t="array" ref="F36">INDEX(Лист2!$D:$D,MATCH(1,(Лист2!$A:$A=A36)*(Лист2!$B:$B=B36),0))</f>
        <v>4968</v>
      </c>
      <c r="G36" s="5" cm="1">
        <f t="array" ref="G36">INDEX(Лист2!$E:$E,MATCH(1,(Лист2!$A:$A=A36)*(Лист2!$B:$B=B36),0))</f>
        <v>4596</v>
      </c>
      <c r="H36" s="9">
        <f t="shared" si="0"/>
        <v>214266.09677419355</v>
      </c>
      <c r="I36">
        <f t="shared" si="1"/>
        <v>19</v>
      </c>
    </row>
    <row r="37" spans="1:9" ht="14.25" hidden="1" customHeight="1" x14ac:dyDescent="0.3">
      <c r="A37" s="19">
        <v>43950</v>
      </c>
      <c r="B37" s="20" t="s">
        <v>11</v>
      </c>
      <c r="C37" s="21">
        <v>79527</v>
      </c>
      <c r="D37" s="22">
        <v>7180498.5</v>
      </c>
      <c r="E37" s="5" cm="1">
        <f t="array" ref="E37">INDEX(Лист2!$C:$C,MATCH(1,(Лист2!$A:$A=A37)*(Лист2!$B:$B=B37),0))</f>
        <v>31</v>
      </c>
      <c r="F37" s="30" cm="1">
        <f t="array" ref="F37">INDEX(Лист2!$D:$D,MATCH(1,(Лист2!$A:$A=A37)*(Лист2!$B:$B=B37),0))</f>
        <v>5378</v>
      </c>
      <c r="G37" s="5" cm="1">
        <f t="array" ref="G37">INDEX(Лист2!$E:$E,MATCH(1,(Лист2!$A:$A=A37)*(Лист2!$B:$B=B37),0))</f>
        <v>4985</v>
      </c>
      <c r="H37" s="9">
        <f t="shared" si="0"/>
        <v>231628.98387096773</v>
      </c>
      <c r="I37">
        <f t="shared" si="1"/>
        <v>18</v>
      </c>
    </row>
    <row r="38" spans="1:9" ht="14.25" hidden="1" customHeight="1" x14ac:dyDescent="0.3">
      <c r="A38" s="15">
        <v>43953</v>
      </c>
      <c r="B38" s="16" t="s">
        <v>11</v>
      </c>
      <c r="C38" s="17">
        <v>60463.5</v>
      </c>
      <c r="D38" s="18">
        <v>5554192.5</v>
      </c>
      <c r="E38" s="5" cm="1">
        <f t="array" ref="E38">INDEX(Лист2!$C:$C,MATCH(1,(Лист2!$A:$A=A38)*(Лист2!$B:$B=B38),0))</f>
        <v>31</v>
      </c>
      <c r="F38" s="30" cm="1">
        <f t="array" ref="F38">INDEX(Лист2!$D:$D,MATCH(1,(Лист2!$A:$A=A38)*(Лист2!$B:$B=B38),0))</f>
        <v>4157</v>
      </c>
      <c r="G38" s="5" cm="1">
        <f t="array" ref="G38">INDEX(Лист2!$E:$E,MATCH(1,(Лист2!$A:$A=A38)*(Лист2!$B:$B=B38),0))</f>
        <v>3823</v>
      </c>
      <c r="H38" s="9">
        <f t="shared" si="0"/>
        <v>179167.5</v>
      </c>
      <c r="I38">
        <f t="shared" si="1"/>
        <v>18</v>
      </c>
    </row>
    <row r="39" spans="1:9" ht="14.25" hidden="1" customHeight="1" x14ac:dyDescent="0.3">
      <c r="A39" s="19">
        <v>43977</v>
      </c>
      <c r="B39" s="20" t="s">
        <v>11</v>
      </c>
      <c r="C39" s="21">
        <v>79975.5</v>
      </c>
      <c r="D39" s="22">
        <v>6676459.5</v>
      </c>
      <c r="E39" s="5" cm="1">
        <f t="array" ref="E39">INDEX(Лист2!$C:$C,MATCH(1,(Лист2!$A:$A=A39)*(Лист2!$B:$B=B39),0))</f>
        <v>31</v>
      </c>
      <c r="F39" s="30" cm="1">
        <f t="array" ref="F39">INDEX(Лист2!$D:$D,MATCH(1,(Лист2!$A:$A=A39)*(Лист2!$B:$B=B39),0))</f>
        <v>5493</v>
      </c>
      <c r="G39" s="5" cm="1">
        <f t="array" ref="G39">INDEX(Лист2!$E:$E,MATCH(1,(Лист2!$A:$A=A39)*(Лист2!$B:$B=B39),0))</f>
        <v>5119</v>
      </c>
      <c r="H39" s="9">
        <f t="shared" si="0"/>
        <v>215369.66129032258</v>
      </c>
      <c r="I39">
        <f t="shared" si="1"/>
        <v>22</v>
      </c>
    </row>
    <row r="40" spans="1:9" ht="14.25" hidden="1" customHeight="1" x14ac:dyDescent="0.3">
      <c r="A40" s="15">
        <v>43952</v>
      </c>
      <c r="B40" s="16" t="s">
        <v>11</v>
      </c>
      <c r="C40" s="17">
        <v>97534.5</v>
      </c>
      <c r="D40" s="18">
        <v>8893024.5</v>
      </c>
      <c r="E40" s="5" cm="1">
        <f t="array" ref="E40">INDEX(Лист2!$C:$C,MATCH(1,(Лист2!$A:$A=A40)*(Лист2!$B:$B=B40),0))</f>
        <v>31</v>
      </c>
      <c r="F40" s="30" cm="1">
        <f t="array" ref="F40">INDEX(Лист2!$D:$D,MATCH(1,(Лист2!$A:$A=A40)*(Лист2!$B:$B=B40),0))</f>
        <v>6118</v>
      </c>
      <c r="G40" s="5" cm="1">
        <f t="array" ref="G40">INDEX(Лист2!$E:$E,MATCH(1,(Лист2!$A:$A=A40)*(Лист2!$B:$B=B40),0))</f>
        <v>5564</v>
      </c>
      <c r="H40" s="9">
        <f t="shared" si="0"/>
        <v>286871.75806451612</v>
      </c>
      <c r="I40">
        <f t="shared" si="1"/>
        <v>18</v>
      </c>
    </row>
    <row r="41" spans="1:9" ht="14.25" hidden="1" customHeight="1" x14ac:dyDescent="0.3">
      <c r="A41" s="19">
        <v>43963</v>
      </c>
      <c r="B41" s="20" t="s">
        <v>11</v>
      </c>
      <c r="C41" s="21">
        <v>71520</v>
      </c>
      <c r="D41" s="22">
        <v>6398361</v>
      </c>
      <c r="E41" s="5" cm="1">
        <f t="array" ref="E41">INDEX(Лист2!$C:$C,MATCH(1,(Лист2!$A:$A=A41)*(Лист2!$B:$B=B41),0))</f>
        <v>31</v>
      </c>
      <c r="F41" s="30" cm="1">
        <f t="array" ref="F41">INDEX(Лист2!$D:$D,MATCH(1,(Лист2!$A:$A=A41)*(Лист2!$B:$B=B41),0))</f>
        <v>4800</v>
      </c>
      <c r="G41" s="5" cm="1">
        <f t="array" ref="G41">INDEX(Лист2!$E:$E,MATCH(1,(Лист2!$A:$A=A41)*(Лист2!$B:$B=B41),0))</f>
        <v>4470</v>
      </c>
      <c r="H41" s="9">
        <f t="shared" si="0"/>
        <v>206398.74193548388</v>
      </c>
      <c r="I41">
        <f t="shared" si="1"/>
        <v>20</v>
      </c>
    </row>
    <row r="42" spans="1:9" ht="14.25" hidden="1" customHeight="1" x14ac:dyDescent="0.3">
      <c r="A42" s="15">
        <v>43972</v>
      </c>
      <c r="B42" s="16" t="s">
        <v>11</v>
      </c>
      <c r="C42" s="17">
        <v>79485</v>
      </c>
      <c r="D42" s="18">
        <v>6633847.5</v>
      </c>
      <c r="E42" s="5" cm="1">
        <f t="array" ref="E42">INDEX(Лист2!$C:$C,MATCH(1,(Лист2!$A:$A=A42)*(Лист2!$B:$B=B42),0))</f>
        <v>31</v>
      </c>
      <c r="F42" s="30" cm="1">
        <f t="array" ref="F42">INDEX(Лист2!$D:$D,MATCH(1,(Лист2!$A:$A=A42)*(Лист2!$B:$B=B42),0))</f>
        <v>5207</v>
      </c>
      <c r="G42" s="5" cm="1">
        <f t="array" ref="G42">INDEX(Лист2!$E:$E,MATCH(1,(Лист2!$A:$A=A42)*(Лист2!$B:$B=B42),0))</f>
        <v>4868</v>
      </c>
      <c r="H42" s="9">
        <f t="shared" si="0"/>
        <v>213995.0806451613</v>
      </c>
      <c r="I42">
        <f t="shared" si="1"/>
        <v>21</v>
      </c>
    </row>
    <row r="43" spans="1:9" ht="14.25" hidden="1" customHeight="1" x14ac:dyDescent="0.3">
      <c r="A43" s="19">
        <v>43971</v>
      </c>
      <c r="B43" s="20" t="s">
        <v>11</v>
      </c>
      <c r="C43" s="21">
        <v>93313.5</v>
      </c>
      <c r="D43" s="22">
        <v>7247575.5</v>
      </c>
      <c r="E43" s="5" cm="1">
        <f t="array" ref="E43">INDEX(Лист2!$C:$C,MATCH(1,(Лист2!$A:$A=A43)*(Лист2!$B:$B=B43),0))</f>
        <v>31</v>
      </c>
      <c r="F43" s="30" cm="1">
        <f t="array" ref="F43">INDEX(Лист2!$D:$D,MATCH(1,(Лист2!$A:$A=A43)*(Лист2!$B:$B=B43),0))</f>
        <v>5698</v>
      </c>
      <c r="G43" s="5" cm="1">
        <f t="array" ref="G43">INDEX(Лист2!$E:$E,MATCH(1,(Лист2!$A:$A=A43)*(Лист2!$B:$B=B43),0))</f>
        <v>5258</v>
      </c>
      <c r="H43" s="9">
        <f t="shared" si="0"/>
        <v>233792.75806451612</v>
      </c>
      <c r="I43">
        <f t="shared" si="1"/>
        <v>21</v>
      </c>
    </row>
    <row r="44" spans="1:9" ht="14.25" hidden="1" customHeight="1" x14ac:dyDescent="0.3">
      <c r="A44" s="15">
        <v>43956</v>
      </c>
      <c r="B44" s="16" t="s">
        <v>11</v>
      </c>
      <c r="C44" s="17">
        <v>76585.5</v>
      </c>
      <c r="D44" s="18">
        <v>6921316.5</v>
      </c>
      <c r="E44" s="5" cm="1">
        <f t="array" ref="E44">INDEX(Лист2!$C:$C,MATCH(1,(Лист2!$A:$A=A44)*(Лист2!$B:$B=B44),0))</f>
        <v>31</v>
      </c>
      <c r="F44" s="30" cm="1">
        <f t="array" ref="F44">INDEX(Лист2!$D:$D,MATCH(1,(Лист2!$A:$A=A44)*(Лист2!$B:$B=B44),0))</f>
        <v>5188</v>
      </c>
      <c r="G44" s="5" cm="1">
        <f t="array" ref="G44">INDEX(Лист2!$E:$E,MATCH(1,(Лист2!$A:$A=A44)*(Лист2!$B:$B=B44),0))</f>
        <v>4800</v>
      </c>
      <c r="H44" s="9">
        <f t="shared" si="0"/>
        <v>223268.27419354839</v>
      </c>
      <c r="I44">
        <f t="shared" si="1"/>
        <v>19</v>
      </c>
    </row>
    <row r="45" spans="1:9" ht="14.25" hidden="1" customHeight="1" x14ac:dyDescent="0.3">
      <c r="A45" s="19">
        <v>43949</v>
      </c>
      <c r="B45" s="20" t="s">
        <v>11</v>
      </c>
      <c r="C45" s="21">
        <v>81826.5</v>
      </c>
      <c r="D45" s="22">
        <v>7163644.5</v>
      </c>
      <c r="E45" s="5" cm="1">
        <f t="array" ref="E45">INDEX(Лист2!$C:$C,MATCH(1,(Лист2!$A:$A=A45)*(Лист2!$B:$B=B45),0))</f>
        <v>31</v>
      </c>
      <c r="F45" s="30" cm="1">
        <f t="array" ref="F45">INDEX(Лист2!$D:$D,MATCH(1,(Лист2!$A:$A=A45)*(Лист2!$B:$B=B45),0))</f>
        <v>5465</v>
      </c>
      <c r="G45" s="5" cm="1">
        <f t="array" ref="G45">INDEX(Лист2!$E:$E,MATCH(1,(Лист2!$A:$A=A45)*(Лист2!$B:$B=B45),0))</f>
        <v>5096</v>
      </c>
      <c r="H45" s="9">
        <f t="shared" si="0"/>
        <v>231085.30645161291</v>
      </c>
      <c r="I45">
        <f t="shared" si="1"/>
        <v>18</v>
      </c>
    </row>
    <row r="46" spans="1:9" ht="14.25" hidden="1" customHeight="1" x14ac:dyDescent="0.3">
      <c r="A46" s="15">
        <v>43964</v>
      </c>
      <c r="B46" s="16" t="s">
        <v>11</v>
      </c>
      <c r="C46" s="17">
        <v>78846</v>
      </c>
      <c r="D46" s="18">
        <v>6993952.5</v>
      </c>
      <c r="E46" s="5" cm="1">
        <f t="array" ref="E46">INDEX(Лист2!$C:$C,MATCH(1,(Лист2!$A:$A=A46)*(Лист2!$B:$B=B46),0))</f>
        <v>31</v>
      </c>
      <c r="F46" s="30" cm="1">
        <f t="array" ref="F46">INDEX(Лист2!$D:$D,MATCH(1,(Лист2!$A:$A=A46)*(Лист2!$B:$B=B46),0))</f>
        <v>5251</v>
      </c>
      <c r="G46" s="5" cm="1">
        <f t="array" ref="G46">INDEX(Лист2!$E:$E,MATCH(1,(Лист2!$A:$A=A46)*(Лист2!$B:$B=B46),0))</f>
        <v>4853</v>
      </c>
      <c r="H46" s="9">
        <f t="shared" si="0"/>
        <v>225611.37096774194</v>
      </c>
      <c r="I46">
        <f t="shared" si="1"/>
        <v>20</v>
      </c>
    </row>
    <row r="47" spans="1:9" ht="14.25" hidden="1" customHeight="1" x14ac:dyDescent="0.3">
      <c r="A47" s="19">
        <v>43954</v>
      </c>
      <c r="B47" s="20" t="s">
        <v>11</v>
      </c>
      <c r="C47" s="21">
        <v>77263.5</v>
      </c>
      <c r="D47" s="22">
        <v>7013670</v>
      </c>
      <c r="E47" s="5" cm="1">
        <f t="array" ref="E47">INDEX(Лист2!$C:$C,MATCH(1,(Лист2!$A:$A=A47)*(Лист2!$B:$B=B47),0))</f>
        <v>31</v>
      </c>
      <c r="F47" s="30" cm="1">
        <f t="array" ref="F47">INDEX(Лист2!$D:$D,MATCH(1,(Лист2!$A:$A=A47)*(Лист2!$B:$B=B47),0))</f>
        <v>5155</v>
      </c>
      <c r="G47" s="5" cm="1">
        <f t="array" ref="G47">INDEX(Лист2!$E:$E,MATCH(1,(Лист2!$A:$A=A47)*(Лист2!$B:$B=B47),0))</f>
        <v>4762</v>
      </c>
      <c r="H47" s="9">
        <f t="shared" si="0"/>
        <v>226247.4193548387</v>
      </c>
      <c r="I47">
        <f t="shared" si="1"/>
        <v>18</v>
      </c>
    </row>
    <row r="48" spans="1:9" ht="14.25" hidden="1" customHeight="1" x14ac:dyDescent="0.3">
      <c r="A48" s="15">
        <v>43957</v>
      </c>
      <c r="B48" s="16" t="s">
        <v>11</v>
      </c>
      <c r="C48" s="17">
        <v>68994</v>
      </c>
      <c r="D48" s="18">
        <v>6168657</v>
      </c>
      <c r="E48" s="5" cm="1">
        <f t="array" ref="E48">INDEX(Лист2!$C:$C,MATCH(1,(Лист2!$A:$A=A48)*(Лист2!$B:$B=B48),0))</f>
        <v>31</v>
      </c>
      <c r="F48" s="30" cm="1">
        <f t="array" ref="F48">INDEX(Лист2!$D:$D,MATCH(1,(Лист2!$A:$A=A48)*(Лист2!$B:$B=B48),0))</f>
        <v>4709</v>
      </c>
      <c r="G48" s="5" cm="1">
        <f t="array" ref="G48">INDEX(Лист2!$E:$E,MATCH(1,(Лист2!$A:$A=A48)*(Лист2!$B:$B=B48),0))</f>
        <v>4348</v>
      </c>
      <c r="H48" s="9">
        <f t="shared" si="0"/>
        <v>198988.93548387097</v>
      </c>
      <c r="I48">
        <f t="shared" si="1"/>
        <v>19</v>
      </c>
    </row>
    <row r="49" spans="1:9" ht="14.25" hidden="1" customHeight="1" x14ac:dyDescent="0.3">
      <c r="A49" s="19">
        <v>43974</v>
      </c>
      <c r="B49" s="20" t="s">
        <v>11</v>
      </c>
      <c r="C49" s="21">
        <v>102889.5</v>
      </c>
      <c r="D49" s="22">
        <v>8089143</v>
      </c>
      <c r="E49" s="5" cm="1">
        <f t="array" ref="E49">INDEX(Лист2!$C:$C,MATCH(1,(Лист2!$A:$A=A49)*(Лист2!$B:$B=B49),0))</f>
        <v>31</v>
      </c>
      <c r="F49" s="30" cm="1">
        <f t="array" ref="F49">INDEX(Лист2!$D:$D,MATCH(1,(Лист2!$A:$A=A49)*(Лист2!$B:$B=B49),0))</f>
        <v>6276</v>
      </c>
      <c r="G49" s="5" cm="1">
        <f t="array" ref="G49">INDEX(Лист2!$E:$E,MATCH(1,(Лист2!$A:$A=A49)*(Лист2!$B:$B=B49),0))</f>
        <v>5801</v>
      </c>
      <c r="H49" s="9">
        <f t="shared" si="0"/>
        <v>260940.09677419355</v>
      </c>
      <c r="I49">
        <f t="shared" si="1"/>
        <v>21</v>
      </c>
    </row>
    <row r="50" spans="1:9" ht="14.25" hidden="1" customHeight="1" x14ac:dyDescent="0.3">
      <c r="A50" s="15">
        <v>43976</v>
      </c>
      <c r="B50" s="16" t="s">
        <v>11</v>
      </c>
      <c r="C50" s="17">
        <v>76999.5</v>
      </c>
      <c r="D50" s="18">
        <v>6645603</v>
      </c>
      <c r="E50" s="5" cm="1">
        <f t="array" ref="E50">INDEX(Лист2!$C:$C,MATCH(1,(Лист2!$A:$A=A50)*(Лист2!$B:$B=B50),0))</f>
        <v>31</v>
      </c>
      <c r="F50" s="30" cm="1">
        <f t="array" ref="F50">INDEX(Лист2!$D:$D,MATCH(1,(Лист2!$A:$A=A50)*(Лист2!$B:$B=B50),0))</f>
        <v>5210</v>
      </c>
      <c r="G50" s="5" cm="1">
        <f t="array" ref="G50">INDEX(Лист2!$E:$E,MATCH(1,(Лист2!$A:$A=A50)*(Лист2!$B:$B=B50),0))</f>
        <v>4841</v>
      </c>
      <c r="H50" s="9">
        <f t="shared" si="0"/>
        <v>214374.29032258064</v>
      </c>
      <c r="I50">
        <f t="shared" si="1"/>
        <v>22</v>
      </c>
    </row>
    <row r="51" spans="1:9" ht="14.25" hidden="1" customHeight="1" x14ac:dyDescent="0.3">
      <c r="A51" s="19">
        <v>43951</v>
      </c>
      <c r="B51" s="20" t="s">
        <v>11</v>
      </c>
      <c r="C51" s="21">
        <v>77565</v>
      </c>
      <c r="D51" s="22">
        <v>7023727.5</v>
      </c>
      <c r="E51" s="5" cm="1">
        <f t="array" ref="E51">INDEX(Лист2!$C:$C,MATCH(1,(Лист2!$A:$A=A51)*(Лист2!$B:$B=B51),0))</f>
        <v>31</v>
      </c>
      <c r="F51" s="30" cm="1">
        <f t="array" ref="F51">INDEX(Лист2!$D:$D,MATCH(1,(Лист2!$A:$A=A51)*(Лист2!$B:$B=B51),0))</f>
        <v>5120</v>
      </c>
      <c r="G51" s="5" cm="1">
        <f t="array" ref="G51">INDEX(Лист2!$E:$E,MATCH(1,(Лист2!$A:$A=A51)*(Лист2!$B:$B=B51),0))</f>
        <v>4737</v>
      </c>
      <c r="H51" s="9">
        <f t="shared" si="0"/>
        <v>226571.85483870967</v>
      </c>
      <c r="I51">
        <f t="shared" si="1"/>
        <v>18</v>
      </c>
    </row>
    <row r="52" spans="1:9" ht="14.25" hidden="1" customHeight="1" x14ac:dyDescent="0.3">
      <c r="A52" s="15">
        <v>43961</v>
      </c>
      <c r="B52" s="16" t="s">
        <v>11</v>
      </c>
      <c r="C52" s="17">
        <v>84132</v>
      </c>
      <c r="D52" s="18">
        <v>7483194</v>
      </c>
      <c r="E52" s="5" cm="1">
        <f t="array" ref="E52">INDEX(Лист2!$C:$C,MATCH(1,(Лист2!$A:$A=A52)*(Лист2!$B:$B=B52),0))</f>
        <v>31</v>
      </c>
      <c r="F52" s="30" cm="1">
        <f t="array" ref="F52">INDEX(Лист2!$D:$D,MATCH(1,(Лист2!$A:$A=A52)*(Лист2!$B:$B=B52),0))</f>
        <v>5495</v>
      </c>
      <c r="G52" s="5" cm="1">
        <f t="array" ref="G52">INDEX(Лист2!$E:$E,MATCH(1,(Лист2!$A:$A=A52)*(Лист2!$B:$B=B52),0))</f>
        <v>5093</v>
      </c>
      <c r="H52" s="9">
        <f t="shared" si="0"/>
        <v>241393.35483870967</v>
      </c>
      <c r="I52">
        <f t="shared" si="1"/>
        <v>19</v>
      </c>
    </row>
    <row r="53" spans="1:9" ht="14.25" hidden="1" customHeight="1" x14ac:dyDescent="0.3">
      <c r="A53" s="19">
        <v>43959</v>
      </c>
      <c r="B53" s="20" t="s">
        <v>11</v>
      </c>
      <c r="C53" s="21">
        <v>69544.5</v>
      </c>
      <c r="D53" s="22">
        <v>6293776.5</v>
      </c>
      <c r="E53" s="5" cm="1">
        <f t="array" ref="E53">INDEX(Лист2!$C:$C,MATCH(1,(Лист2!$A:$A=A53)*(Лист2!$B:$B=B53),0))</f>
        <v>31</v>
      </c>
      <c r="F53" s="30" cm="1">
        <f t="array" ref="F53">INDEX(Лист2!$D:$D,MATCH(1,(Лист2!$A:$A=A53)*(Лист2!$B:$B=B53),0))</f>
        <v>4635</v>
      </c>
      <c r="G53" s="5" cm="1">
        <f t="array" ref="G53">INDEX(Лист2!$E:$E,MATCH(1,(Лист2!$A:$A=A53)*(Лист2!$B:$B=B53),0))</f>
        <v>4266</v>
      </c>
      <c r="H53" s="9">
        <f t="shared" si="0"/>
        <v>203025.04838709679</v>
      </c>
      <c r="I53">
        <f t="shared" si="1"/>
        <v>19</v>
      </c>
    </row>
    <row r="54" spans="1:9" ht="14.25" hidden="1" customHeight="1" x14ac:dyDescent="0.3">
      <c r="A54" s="15">
        <v>43958</v>
      </c>
      <c r="B54" s="16" t="s">
        <v>11</v>
      </c>
      <c r="C54" s="17">
        <v>73204.5</v>
      </c>
      <c r="D54" s="18">
        <v>6591883.5</v>
      </c>
      <c r="E54" s="5" cm="1">
        <f t="array" ref="E54">INDEX(Лист2!$C:$C,MATCH(1,(Лист2!$A:$A=A54)*(Лист2!$B:$B=B54),0))</f>
        <v>31</v>
      </c>
      <c r="F54" s="30" cm="1">
        <f t="array" ref="F54">INDEX(Лист2!$D:$D,MATCH(1,(Лист2!$A:$A=A54)*(Лист2!$B:$B=B54),0))</f>
        <v>4903</v>
      </c>
      <c r="G54" s="5" cm="1">
        <f t="array" ref="G54">INDEX(Лист2!$E:$E,MATCH(1,(Лист2!$A:$A=A54)*(Лист2!$B:$B=B54),0))</f>
        <v>4527</v>
      </c>
      <c r="H54" s="9">
        <f t="shared" si="0"/>
        <v>212641.40322580645</v>
      </c>
      <c r="I54">
        <f t="shared" si="1"/>
        <v>19</v>
      </c>
    </row>
    <row r="55" spans="1:9" ht="14.25" hidden="1" customHeight="1" x14ac:dyDescent="0.3">
      <c r="A55" s="19">
        <v>43975</v>
      </c>
      <c r="B55" s="20" t="s">
        <v>11</v>
      </c>
      <c r="C55" s="21">
        <v>76663.5</v>
      </c>
      <c r="D55" s="22">
        <v>6451032</v>
      </c>
      <c r="E55" s="5" cm="1">
        <f t="array" ref="E55">INDEX(Лист2!$C:$C,MATCH(1,(Лист2!$A:$A=A55)*(Лист2!$B:$B=B55),0))</f>
        <v>31</v>
      </c>
      <c r="F55" s="30" cm="1">
        <f t="array" ref="F55">INDEX(Лист2!$D:$D,MATCH(1,(Лист2!$A:$A=A55)*(Лист2!$B:$B=B55),0))</f>
        <v>5035</v>
      </c>
      <c r="G55" s="5" cm="1">
        <f t="array" ref="G55">INDEX(Лист2!$E:$E,MATCH(1,(Лист2!$A:$A=A55)*(Лист2!$B:$B=B55),0))</f>
        <v>4683</v>
      </c>
      <c r="H55" s="9">
        <f t="shared" si="0"/>
        <v>208097.80645161291</v>
      </c>
      <c r="I55">
        <f t="shared" si="1"/>
        <v>21</v>
      </c>
    </row>
    <row r="56" spans="1:9" ht="14.25" hidden="1" customHeight="1" x14ac:dyDescent="0.3">
      <c r="A56" s="15">
        <v>43967</v>
      </c>
      <c r="B56" s="16" t="s">
        <v>12</v>
      </c>
      <c r="C56" s="17">
        <v>14265</v>
      </c>
      <c r="D56" s="18">
        <v>1130506.5</v>
      </c>
      <c r="E56" s="5" cm="1">
        <f t="array" ref="E56">INDEX(Лист2!$C:$C,MATCH(1,(Лист2!$A:$A=A56)*(Лист2!$B:$B=B56),0))</f>
        <v>10</v>
      </c>
      <c r="F56" s="30" cm="1">
        <f t="array" ref="F56">INDEX(Лист2!$D:$D,MATCH(1,(Лист2!$A:$A=A56)*(Лист2!$B:$B=B56),0))</f>
        <v>760</v>
      </c>
      <c r="G56" s="5" cm="1">
        <f t="array" ref="G56">INDEX(Лист2!$E:$E,MATCH(1,(Лист2!$A:$A=A56)*(Лист2!$B:$B=B56),0))</f>
        <v>672</v>
      </c>
      <c r="H56" s="9">
        <f t="shared" si="0"/>
        <v>113050.65</v>
      </c>
      <c r="I56">
        <f t="shared" si="1"/>
        <v>20</v>
      </c>
    </row>
    <row r="57" spans="1:9" ht="14.25" hidden="1" customHeight="1" x14ac:dyDescent="0.3">
      <c r="A57" s="19">
        <v>43970</v>
      </c>
      <c r="B57" s="20" t="s">
        <v>12</v>
      </c>
      <c r="C57" s="21">
        <v>11526</v>
      </c>
      <c r="D57" s="22">
        <v>938764.5</v>
      </c>
      <c r="E57" s="5" cm="1">
        <f t="array" ref="E57">INDEX(Лист2!$C:$C,MATCH(1,(Лист2!$A:$A=A57)*(Лист2!$B:$B=B57),0))</f>
        <v>10</v>
      </c>
      <c r="F57" s="30" cm="1">
        <f t="array" ref="F57">INDEX(Лист2!$D:$D,MATCH(1,(Лист2!$A:$A=A57)*(Лист2!$B:$B=B57),0))</f>
        <v>649</v>
      </c>
      <c r="G57" s="5" cm="1">
        <f t="array" ref="G57">INDEX(Лист2!$E:$E,MATCH(1,(Лист2!$A:$A=A57)*(Лист2!$B:$B=B57),0))</f>
        <v>568</v>
      </c>
      <c r="H57" s="9">
        <f t="shared" si="0"/>
        <v>93876.45</v>
      </c>
      <c r="I57">
        <f t="shared" si="1"/>
        <v>21</v>
      </c>
    </row>
    <row r="58" spans="1:9" ht="14.25" hidden="1" customHeight="1" x14ac:dyDescent="0.3">
      <c r="A58" s="15">
        <v>43968</v>
      </c>
      <c r="B58" s="16" t="s">
        <v>12</v>
      </c>
      <c r="C58" s="17">
        <v>10402.5</v>
      </c>
      <c r="D58" s="18">
        <v>843727.5</v>
      </c>
      <c r="E58" s="5" cm="1">
        <f t="array" ref="E58">INDEX(Лист2!$C:$C,MATCH(1,(Лист2!$A:$A=A58)*(Лист2!$B:$B=B58),0))</f>
        <v>10</v>
      </c>
      <c r="F58" s="30" cm="1">
        <f t="array" ref="F58">INDEX(Лист2!$D:$D,MATCH(1,(Лист2!$A:$A=A58)*(Лист2!$B:$B=B58),0))</f>
        <v>591</v>
      </c>
      <c r="G58" s="5" cm="1">
        <f t="array" ref="G58">INDEX(Лист2!$E:$E,MATCH(1,(Лист2!$A:$A=A58)*(Лист2!$B:$B=B58),0))</f>
        <v>513</v>
      </c>
      <c r="H58" s="9">
        <f t="shared" si="0"/>
        <v>84372.75</v>
      </c>
      <c r="I58">
        <f t="shared" si="1"/>
        <v>20</v>
      </c>
    </row>
    <row r="59" spans="1:9" ht="14.25" hidden="1" customHeight="1" x14ac:dyDescent="0.3">
      <c r="A59" s="19">
        <v>43960</v>
      </c>
      <c r="B59" s="20" t="s">
        <v>12</v>
      </c>
      <c r="C59" s="21">
        <v>13216.5</v>
      </c>
      <c r="D59" s="22">
        <v>1046400</v>
      </c>
      <c r="E59" s="5" cm="1">
        <f t="array" ref="E59">INDEX(Лист2!$C:$C,MATCH(1,(Лист2!$A:$A=A59)*(Лист2!$B:$B=B59),0))</f>
        <v>10</v>
      </c>
      <c r="F59" s="30" cm="1">
        <f t="array" ref="F59">INDEX(Лист2!$D:$D,MATCH(1,(Лист2!$A:$A=A59)*(Лист2!$B:$B=B59),0))</f>
        <v>644</v>
      </c>
      <c r="G59" s="5" cm="1">
        <f t="array" ref="G59">INDEX(Лист2!$E:$E,MATCH(1,(Лист2!$A:$A=A59)*(Лист2!$B:$B=B59),0))</f>
        <v>559</v>
      </c>
      <c r="H59" s="9">
        <f t="shared" si="0"/>
        <v>104640</v>
      </c>
      <c r="I59">
        <f t="shared" si="1"/>
        <v>19</v>
      </c>
    </row>
    <row r="60" spans="1:9" ht="14.25" hidden="1" customHeight="1" x14ac:dyDescent="0.3">
      <c r="A60" s="15">
        <v>43955</v>
      </c>
      <c r="B60" s="16" t="s">
        <v>12</v>
      </c>
      <c r="C60" s="17">
        <v>9130.5</v>
      </c>
      <c r="D60" s="18">
        <v>728890.5</v>
      </c>
      <c r="E60" s="5" cm="1">
        <f t="array" ref="E60">INDEX(Лист2!$C:$C,MATCH(1,(Лист2!$A:$A=A60)*(Лист2!$B:$B=B60),0))</f>
        <v>10</v>
      </c>
      <c r="F60" s="30" cm="1">
        <f t="array" ref="F60">INDEX(Лист2!$D:$D,MATCH(1,(Лист2!$A:$A=A60)*(Лист2!$B:$B=B60),0))</f>
        <v>462</v>
      </c>
      <c r="G60" s="5" cm="1">
        <f t="array" ref="G60">INDEX(Лист2!$E:$E,MATCH(1,(Лист2!$A:$A=A60)*(Лист2!$B:$B=B60),0))</f>
        <v>396</v>
      </c>
      <c r="H60" s="9">
        <f t="shared" si="0"/>
        <v>72889.05</v>
      </c>
      <c r="I60">
        <f t="shared" si="1"/>
        <v>19</v>
      </c>
    </row>
    <row r="61" spans="1:9" ht="14.25" hidden="1" customHeight="1" x14ac:dyDescent="0.3">
      <c r="A61" s="19">
        <v>43950</v>
      </c>
      <c r="B61" s="20" t="s">
        <v>12</v>
      </c>
      <c r="C61" s="21">
        <v>10840.5</v>
      </c>
      <c r="D61" s="22">
        <v>797919</v>
      </c>
      <c r="E61" s="5" cm="1">
        <f t="array" ref="E61">INDEX(Лист2!$C:$C,MATCH(1,(Лист2!$A:$A=A61)*(Лист2!$B:$B=B61),0))</f>
        <v>10</v>
      </c>
      <c r="F61" s="30" cm="1">
        <f t="array" ref="F61">INDEX(Лист2!$D:$D,MATCH(1,(Лист2!$A:$A=A61)*(Лист2!$B:$B=B61),0))</f>
        <v>502</v>
      </c>
      <c r="G61" s="5" cm="1">
        <f t="array" ref="G61">INDEX(Лист2!$E:$E,MATCH(1,(Лист2!$A:$A=A61)*(Лист2!$B:$B=B61),0))</f>
        <v>433</v>
      </c>
      <c r="H61" s="9">
        <f t="shared" si="0"/>
        <v>79791.899999999994</v>
      </c>
      <c r="I61">
        <f t="shared" si="1"/>
        <v>18</v>
      </c>
    </row>
    <row r="62" spans="1:9" ht="14.25" hidden="1" customHeight="1" x14ac:dyDescent="0.3">
      <c r="A62" s="15">
        <v>43953</v>
      </c>
      <c r="B62" s="16" t="s">
        <v>12</v>
      </c>
      <c r="C62" s="17">
        <v>7866</v>
      </c>
      <c r="D62" s="18">
        <v>617881.5</v>
      </c>
      <c r="E62" s="5" cm="1">
        <f t="array" ref="E62">INDEX(Лист2!$C:$C,MATCH(1,(Лист2!$A:$A=A62)*(Лист2!$B:$B=B62),0))</f>
        <v>10</v>
      </c>
      <c r="F62" s="30" cm="1">
        <f t="array" ref="F62">INDEX(Лист2!$D:$D,MATCH(1,(Лист2!$A:$A=A62)*(Лист2!$B:$B=B62),0))</f>
        <v>416</v>
      </c>
      <c r="G62" s="5" cm="1">
        <f t="array" ref="G62">INDEX(Лист2!$E:$E,MATCH(1,(Лист2!$A:$A=A62)*(Лист2!$B:$B=B62),0))</f>
        <v>341</v>
      </c>
      <c r="H62" s="9">
        <f t="shared" si="0"/>
        <v>61788.15</v>
      </c>
      <c r="I62">
        <f t="shared" si="1"/>
        <v>18</v>
      </c>
    </row>
    <row r="63" spans="1:9" ht="14.25" hidden="1" customHeight="1" x14ac:dyDescent="0.3">
      <c r="A63" s="19">
        <v>43977</v>
      </c>
      <c r="B63" s="20" t="s">
        <v>12</v>
      </c>
      <c r="C63" s="21">
        <v>11835</v>
      </c>
      <c r="D63" s="22">
        <v>983109</v>
      </c>
      <c r="E63" s="5" cm="1">
        <f t="array" ref="E63">INDEX(Лист2!$C:$C,MATCH(1,(Лист2!$A:$A=A63)*(Лист2!$B:$B=B63),0))</f>
        <v>10</v>
      </c>
      <c r="F63" s="30" cm="1">
        <f t="array" ref="F63">INDEX(Лист2!$D:$D,MATCH(1,(Лист2!$A:$A=A63)*(Лист2!$B:$B=B63),0))</f>
        <v>692</v>
      </c>
      <c r="G63" s="5" cm="1">
        <f t="array" ref="G63">INDEX(Лист2!$E:$E,MATCH(1,(Лист2!$A:$A=A63)*(Лист2!$B:$B=B63),0))</f>
        <v>601</v>
      </c>
      <c r="H63" s="9">
        <f t="shared" si="0"/>
        <v>98310.9</v>
      </c>
      <c r="I63">
        <f t="shared" si="1"/>
        <v>22</v>
      </c>
    </row>
    <row r="64" spans="1:9" ht="14.25" hidden="1" customHeight="1" x14ac:dyDescent="0.3">
      <c r="A64" s="15">
        <v>43952</v>
      </c>
      <c r="B64" s="16" t="s">
        <v>12</v>
      </c>
      <c r="C64" s="17">
        <v>11619</v>
      </c>
      <c r="D64" s="18">
        <v>891139.5</v>
      </c>
      <c r="E64" s="5" cm="1">
        <f t="array" ref="E64">INDEX(Лист2!$C:$C,MATCH(1,(Лист2!$A:$A=A64)*(Лист2!$B:$B=B64),0))</f>
        <v>10</v>
      </c>
      <c r="F64" s="30" cm="1">
        <f t="array" ref="F64">INDEX(Лист2!$D:$D,MATCH(1,(Лист2!$A:$A=A64)*(Лист2!$B:$B=B64),0))</f>
        <v>554</v>
      </c>
      <c r="G64" s="5" cm="1">
        <f t="array" ref="G64">INDEX(Лист2!$E:$E,MATCH(1,(Лист2!$A:$A=A64)*(Лист2!$B:$B=B64),0))</f>
        <v>472</v>
      </c>
      <c r="H64" s="9">
        <f t="shared" si="0"/>
        <v>89113.95</v>
      </c>
      <c r="I64">
        <f t="shared" si="1"/>
        <v>18</v>
      </c>
    </row>
    <row r="65" spans="1:9" ht="14.25" hidden="1" customHeight="1" x14ac:dyDescent="0.3">
      <c r="A65" s="19">
        <v>43963</v>
      </c>
      <c r="B65" s="20" t="s">
        <v>12</v>
      </c>
      <c r="C65" s="21">
        <v>9328.5</v>
      </c>
      <c r="D65" s="22">
        <v>732964.5</v>
      </c>
      <c r="E65" s="5" cm="1">
        <f t="array" ref="E65">INDEX(Лист2!$C:$C,MATCH(1,(Лист2!$A:$A=A65)*(Лист2!$B:$B=B65),0))</f>
        <v>10</v>
      </c>
      <c r="F65" s="30" cm="1">
        <f t="array" ref="F65">INDEX(Лист2!$D:$D,MATCH(1,(Лист2!$A:$A=A65)*(Лист2!$B:$B=B65),0))</f>
        <v>526</v>
      </c>
      <c r="G65" s="5" cm="1">
        <f t="array" ref="G65">INDEX(Лист2!$E:$E,MATCH(1,(Лист2!$A:$A=A65)*(Лист2!$B:$B=B65),0))</f>
        <v>448</v>
      </c>
      <c r="H65" s="9">
        <f t="shared" si="0"/>
        <v>73296.45</v>
      </c>
      <c r="I65">
        <f t="shared" si="1"/>
        <v>20</v>
      </c>
    </row>
    <row r="66" spans="1:9" ht="14.25" hidden="1" customHeight="1" x14ac:dyDescent="0.3">
      <c r="A66" s="15">
        <v>43972</v>
      </c>
      <c r="B66" s="16" t="s">
        <v>12</v>
      </c>
      <c r="C66" s="17">
        <v>11250</v>
      </c>
      <c r="D66" s="18">
        <v>935523</v>
      </c>
      <c r="E66" s="5" cm="1">
        <f t="array" ref="E66">INDEX(Лист2!$C:$C,MATCH(1,(Лист2!$A:$A=A66)*(Лист2!$B:$B=B66),0))</f>
        <v>10</v>
      </c>
      <c r="F66" s="30" cm="1">
        <f t="array" ref="F66">INDEX(Лист2!$D:$D,MATCH(1,(Лист2!$A:$A=A66)*(Лист2!$B:$B=B66),0))</f>
        <v>677</v>
      </c>
      <c r="G66" s="5" cm="1">
        <f t="array" ref="G66">INDEX(Лист2!$E:$E,MATCH(1,(Лист2!$A:$A=A66)*(Лист2!$B:$B=B66),0))</f>
        <v>591</v>
      </c>
      <c r="H66" s="9">
        <f t="shared" si="0"/>
        <v>93552.3</v>
      </c>
      <c r="I66">
        <f t="shared" si="1"/>
        <v>21</v>
      </c>
    </row>
    <row r="67" spans="1:9" ht="14.25" hidden="1" customHeight="1" x14ac:dyDescent="0.3">
      <c r="A67" s="19">
        <v>43971</v>
      </c>
      <c r="B67" s="20" t="s">
        <v>12</v>
      </c>
      <c r="C67" s="21">
        <v>13063.5</v>
      </c>
      <c r="D67" s="22">
        <v>1037247</v>
      </c>
      <c r="E67" s="5" cm="1">
        <f t="array" ref="E67">INDEX(Лист2!$C:$C,MATCH(1,(Лист2!$A:$A=A67)*(Лист2!$B:$B=B67),0))</f>
        <v>10</v>
      </c>
      <c r="F67" s="30" cm="1">
        <f t="array" ref="F67">INDEX(Лист2!$D:$D,MATCH(1,(Лист2!$A:$A=A67)*(Лист2!$B:$B=B67),0))</f>
        <v>745</v>
      </c>
      <c r="G67" s="5" cm="1">
        <f t="array" ref="G67">INDEX(Лист2!$E:$E,MATCH(1,(Лист2!$A:$A=A67)*(Лист2!$B:$B=B67),0))</f>
        <v>654</v>
      </c>
      <c r="H67" s="9">
        <f t="shared" ref="H67:H130" si="2">D67/E67</f>
        <v>103724.7</v>
      </c>
      <c r="I67">
        <f t="shared" ref="I67:I130" si="3">WEEKNUM(A67,2)</f>
        <v>21</v>
      </c>
    </row>
    <row r="68" spans="1:9" ht="14.25" hidden="1" customHeight="1" x14ac:dyDescent="0.3">
      <c r="A68" s="15">
        <v>43956</v>
      </c>
      <c r="B68" s="16" t="s">
        <v>12</v>
      </c>
      <c r="C68" s="17">
        <v>10147.5</v>
      </c>
      <c r="D68" s="18">
        <v>793320</v>
      </c>
      <c r="E68" s="5" cm="1">
        <f t="array" ref="E68">INDEX(Лист2!$C:$C,MATCH(1,(Лист2!$A:$A=A68)*(Лист2!$B:$B=B68),0))</f>
        <v>10</v>
      </c>
      <c r="F68" s="30" cm="1">
        <f t="array" ref="F68">INDEX(Лист2!$D:$D,MATCH(1,(Лист2!$A:$A=A68)*(Лист2!$B:$B=B68),0))</f>
        <v>511</v>
      </c>
      <c r="G68" s="5" cm="1">
        <f t="array" ref="G68">INDEX(Лист2!$E:$E,MATCH(1,(Лист2!$A:$A=A68)*(Лист2!$B:$B=B68),0))</f>
        <v>437</v>
      </c>
      <c r="H68" s="9">
        <f t="shared" si="2"/>
        <v>79332</v>
      </c>
      <c r="I68">
        <f t="shared" si="3"/>
        <v>19</v>
      </c>
    </row>
    <row r="69" spans="1:9" ht="14.25" hidden="1" customHeight="1" x14ac:dyDescent="0.3">
      <c r="A69" s="19">
        <v>43949</v>
      </c>
      <c r="B69" s="20" t="s">
        <v>12</v>
      </c>
      <c r="C69" s="21">
        <v>12331.5</v>
      </c>
      <c r="D69" s="22">
        <v>869983.5</v>
      </c>
      <c r="E69" s="5" cm="1">
        <f t="array" ref="E69">INDEX(Лист2!$C:$C,MATCH(1,(Лист2!$A:$A=A69)*(Лист2!$B:$B=B69),0))</f>
        <v>10</v>
      </c>
      <c r="F69" s="30" cm="1">
        <f t="array" ref="F69">INDEX(Лист2!$D:$D,MATCH(1,(Лист2!$A:$A=A69)*(Лист2!$B:$B=B69),0))</f>
        <v>580</v>
      </c>
      <c r="G69" s="5" cm="1">
        <f t="array" ref="G69">INDEX(Лист2!$E:$E,MATCH(1,(Лист2!$A:$A=A69)*(Лист2!$B:$B=B69),0))</f>
        <v>506</v>
      </c>
      <c r="H69" s="9">
        <f t="shared" si="2"/>
        <v>86998.35</v>
      </c>
      <c r="I69">
        <f t="shared" si="3"/>
        <v>18</v>
      </c>
    </row>
    <row r="70" spans="1:9" ht="14.25" hidden="1" customHeight="1" x14ac:dyDescent="0.3">
      <c r="A70" s="15">
        <v>43964</v>
      </c>
      <c r="B70" s="16" t="s">
        <v>12</v>
      </c>
      <c r="C70" s="17">
        <v>11202</v>
      </c>
      <c r="D70" s="18">
        <v>865714.5</v>
      </c>
      <c r="E70" s="5" cm="1">
        <f t="array" ref="E70">INDEX(Лист2!$C:$C,MATCH(1,(Лист2!$A:$A=A70)*(Лист2!$B:$B=B70),0))</f>
        <v>10</v>
      </c>
      <c r="F70" s="30" cm="1">
        <f t="array" ref="F70">INDEX(Лист2!$D:$D,MATCH(1,(Лист2!$A:$A=A70)*(Лист2!$B:$B=B70),0))</f>
        <v>612</v>
      </c>
      <c r="G70" s="5" cm="1">
        <f t="array" ref="G70">INDEX(Лист2!$E:$E,MATCH(1,(Лист2!$A:$A=A70)*(Лист2!$B:$B=B70),0))</f>
        <v>530</v>
      </c>
      <c r="H70" s="9">
        <f t="shared" si="2"/>
        <v>86571.45</v>
      </c>
      <c r="I70">
        <f t="shared" si="3"/>
        <v>20</v>
      </c>
    </row>
    <row r="71" spans="1:9" ht="14.25" hidden="1" customHeight="1" x14ac:dyDescent="0.3">
      <c r="A71" s="19">
        <v>43982</v>
      </c>
      <c r="B71" s="20" t="s">
        <v>11</v>
      </c>
      <c r="C71" s="21">
        <v>89149.5</v>
      </c>
      <c r="D71" s="22">
        <v>7512646.5</v>
      </c>
      <c r="E71" s="5" cm="1">
        <f t="array" ref="E71">INDEX(Лист2!$C:$C,MATCH(1,(Лист2!$A:$A=A71)*(Лист2!$B:$B=B71),0))</f>
        <v>31</v>
      </c>
      <c r="F71" s="30" cm="1">
        <f t="array" ref="F71">INDEX(Лист2!$D:$D,MATCH(1,(Лист2!$A:$A=A71)*(Лист2!$B:$B=B71),0))</f>
        <v>5760</v>
      </c>
      <c r="G71" s="5" cm="1">
        <f t="array" ref="G71">INDEX(Лист2!$E:$E,MATCH(1,(Лист2!$A:$A=A71)*(Лист2!$B:$B=B71),0))</f>
        <v>5367</v>
      </c>
      <c r="H71" s="9">
        <f t="shared" si="2"/>
        <v>242343.43548387097</v>
      </c>
      <c r="I71">
        <f t="shared" si="3"/>
        <v>22</v>
      </c>
    </row>
    <row r="72" spans="1:9" ht="14.25" hidden="1" customHeight="1" x14ac:dyDescent="0.3">
      <c r="A72" s="15">
        <v>43954</v>
      </c>
      <c r="B72" s="16" t="s">
        <v>12</v>
      </c>
      <c r="C72" s="17">
        <v>8185.5</v>
      </c>
      <c r="D72" s="18">
        <v>637881</v>
      </c>
      <c r="E72" s="5" cm="1">
        <f t="array" ref="E72">INDEX(Лист2!$C:$C,MATCH(1,(Лист2!$A:$A=A72)*(Лист2!$B:$B=B72),0))</f>
        <v>10</v>
      </c>
      <c r="F72" s="30" cm="1">
        <f t="array" ref="F72">INDEX(Лист2!$D:$D,MATCH(1,(Лист2!$A:$A=A72)*(Лист2!$B:$B=B72),0))</f>
        <v>402</v>
      </c>
      <c r="G72" s="5" cm="1">
        <f t="array" ref="G72">INDEX(Лист2!$E:$E,MATCH(1,(Лист2!$A:$A=A72)*(Лист2!$B:$B=B72),0))</f>
        <v>333</v>
      </c>
      <c r="H72" s="9">
        <f t="shared" si="2"/>
        <v>63788.1</v>
      </c>
      <c r="I72">
        <f t="shared" si="3"/>
        <v>18</v>
      </c>
    </row>
    <row r="73" spans="1:9" ht="14.25" hidden="1" customHeight="1" x14ac:dyDescent="0.3">
      <c r="A73" s="19">
        <v>43981</v>
      </c>
      <c r="B73" s="20" t="s">
        <v>11</v>
      </c>
      <c r="C73" s="21">
        <v>108123</v>
      </c>
      <c r="D73" s="22">
        <v>9164707.5</v>
      </c>
      <c r="E73" s="5" cm="1">
        <f t="array" ref="E73">INDEX(Лист2!$C:$C,MATCH(1,(Лист2!$A:$A=A73)*(Лист2!$B:$B=B73),0))</f>
        <v>31</v>
      </c>
      <c r="F73" s="30" cm="1">
        <f t="array" ref="F73">INDEX(Лист2!$D:$D,MATCH(1,(Лист2!$A:$A=A73)*(Лист2!$B:$B=B73),0))</f>
        <v>6735</v>
      </c>
      <c r="G73" s="5" cm="1">
        <f t="array" ref="G73">INDEX(Лист2!$E:$E,MATCH(1,(Лист2!$A:$A=A73)*(Лист2!$B:$B=B73),0))</f>
        <v>6264</v>
      </c>
      <c r="H73" s="9">
        <f t="shared" si="2"/>
        <v>295635.72580645164</v>
      </c>
      <c r="I73">
        <f t="shared" si="3"/>
        <v>22</v>
      </c>
    </row>
    <row r="74" spans="1:9" ht="14.25" hidden="1" customHeight="1" x14ac:dyDescent="0.3">
      <c r="A74" s="15">
        <v>43957</v>
      </c>
      <c r="B74" s="16" t="s">
        <v>12</v>
      </c>
      <c r="C74" s="17">
        <v>9210</v>
      </c>
      <c r="D74" s="18">
        <v>696832.5</v>
      </c>
      <c r="E74" s="5" cm="1">
        <f t="array" ref="E74">INDEX(Лист2!$C:$C,MATCH(1,(Лист2!$A:$A=A74)*(Лист2!$B:$B=B74),0))</f>
        <v>10</v>
      </c>
      <c r="F74" s="30" cm="1">
        <f t="array" ref="F74">INDEX(Лист2!$D:$D,MATCH(1,(Лист2!$A:$A=A74)*(Лист2!$B:$B=B74),0))</f>
        <v>465</v>
      </c>
      <c r="G74" s="5" cm="1">
        <f t="array" ref="G74">INDEX(Лист2!$E:$E,MATCH(1,(Лист2!$A:$A=A74)*(Лист2!$B:$B=B74),0))</f>
        <v>390</v>
      </c>
      <c r="H74" s="9">
        <f t="shared" si="2"/>
        <v>69683.25</v>
      </c>
      <c r="I74">
        <f t="shared" si="3"/>
        <v>19</v>
      </c>
    </row>
    <row r="75" spans="1:9" ht="14.25" hidden="1" customHeight="1" x14ac:dyDescent="0.3">
      <c r="A75" s="19">
        <v>43974</v>
      </c>
      <c r="B75" s="20" t="s">
        <v>12</v>
      </c>
      <c r="C75" s="21">
        <v>14773.5</v>
      </c>
      <c r="D75" s="22">
        <v>1241383.5</v>
      </c>
      <c r="E75" s="5" cm="1">
        <f t="array" ref="E75">INDEX(Лист2!$C:$C,MATCH(1,(Лист2!$A:$A=A75)*(Лист2!$B:$B=B75),0))</f>
        <v>10</v>
      </c>
      <c r="F75" s="30" cm="1">
        <f t="array" ref="F75">INDEX(Лист2!$D:$D,MATCH(1,(Лист2!$A:$A=A75)*(Лист2!$B:$B=B75),0))</f>
        <v>828</v>
      </c>
      <c r="G75" s="5" cm="1">
        <f t="array" ref="G75">INDEX(Лист2!$E:$E,MATCH(1,(Лист2!$A:$A=A75)*(Лист2!$B:$B=B75),0))</f>
        <v>734</v>
      </c>
      <c r="H75" s="9">
        <f t="shared" si="2"/>
        <v>124138.35</v>
      </c>
      <c r="I75">
        <f t="shared" si="3"/>
        <v>21</v>
      </c>
    </row>
    <row r="76" spans="1:9" ht="14.25" hidden="1" customHeight="1" x14ac:dyDescent="0.3">
      <c r="A76" s="15">
        <v>43979</v>
      </c>
      <c r="B76" s="16" t="s">
        <v>11</v>
      </c>
      <c r="C76" s="17">
        <v>78141</v>
      </c>
      <c r="D76" s="18">
        <v>6641569.5</v>
      </c>
      <c r="E76" s="5" cm="1">
        <f t="array" ref="E76">INDEX(Лист2!$C:$C,MATCH(1,(Лист2!$A:$A=A76)*(Лист2!$B:$B=B76),0))</f>
        <v>31</v>
      </c>
      <c r="F76" s="30" cm="1">
        <f t="array" ref="F76">INDEX(Лист2!$D:$D,MATCH(1,(Лист2!$A:$A=A76)*(Лист2!$B:$B=B76),0))</f>
        <v>5355</v>
      </c>
      <c r="G76" s="5" cm="1">
        <f t="array" ref="G76">INDEX(Лист2!$E:$E,MATCH(1,(Лист2!$A:$A=A76)*(Лист2!$B:$B=B76),0))</f>
        <v>4969</v>
      </c>
      <c r="H76" s="9">
        <f t="shared" si="2"/>
        <v>214244.17741935485</v>
      </c>
      <c r="I76">
        <f t="shared" si="3"/>
        <v>22</v>
      </c>
    </row>
    <row r="77" spans="1:9" ht="14.25" hidden="1" customHeight="1" x14ac:dyDescent="0.3">
      <c r="A77" s="19">
        <v>43976</v>
      </c>
      <c r="B77" s="20" t="s">
        <v>12</v>
      </c>
      <c r="C77" s="21">
        <v>12280.5</v>
      </c>
      <c r="D77" s="22">
        <v>1030440</v>
      </c>
      <c r="E77" s="5" cm="1">
        <f t="array" ref="E77">INDEX(Лист2!$C:$C,MATCH(1,(Лист2!$A:$A=A77)*(Лист2!$B:$B=B77),0))</f>
        <v>10</v>
      </c>
      <c r="F77" s="30" cm="1">
        <f t="array" ref="F77">INDEX(Лист2!$D:$D,MATCH(1,(Лист2!$A:$A=A77)*(Лист2!$B:$B=B77),0))</f>
        <v>739</v>
      </c>
      <c r="G77" s="5" cm="1">
        <f t="array" ref="G77">INDEX(Лист2!$E:$E,MATCH(1,(Лист2!$A:$A=A77)*(Лист2!$B:$B=B77),0))</f>
        <v>642</v>
      </c>
      <c r="H77" s="9">
        <f t="shared" si="2"/>
        <v>103044</v>
      </c>
      <c r="I77">
        <f t="shared" si="3"/>
        <v>22</v>
      </c>
    </row>
    <row r="78" spans="1:9" ht="14.25" hidden="1" customHeight="1" x14ac:dyDescent="0.3">
      <c r="A78" s="15">
        <v>43951</v>
      </c>
      <c r="B78" s="16" t="s">
        <v>12</v>
      </c>
      <c r="C78" s="17">
        <v>8934</v>
      </c>
      <c r="D78" s="18">
        <v>716196</v>
      </c>
      <c r="E78" s="5" cm="1">
        <f t="array" ref="E78">INDEX(Лист2!$C:$C,MATCH(1,(Лист2!$A:$A=A78)*(Лист2!$B:$B=B78),0))</f>
        <v>10</v>
      </c>
      <c r="F78" s="30" cm="1">
        <f t="array" ref="F78">INDEX(Лист2!$D:$D,MATCH(1,(Лист2!$A:$A=A78)*(Лист2!$B:$B=B78),0))</f>
        <v>448</v>
      </c>
      <c r="G78" s="5" cm="1">
        <f t="array" ref="G78">INDEX(Лист2!$E:$E,MATCH(1,(Лист2!$A:$A=A78)*(Лист2!$B:$B=B78),0))</f>
        <v>376</v>
      </c>
      <c r="H78" s="9">
        <f t="shared" si="2"/>
        <v>71619.600000000006</v>
      </c>
      <c r="I78">
        <f t="shared" si="3"/>
        <v>18</v>
      </c>
    </row>
    <row r="79" spans="1:9" ht="14.25" hidden="1" customHeight="1" x14ac:dyDescent="0.3">
      <c r="A79" s="19">
        <v>43961</v>
      </c>
      <c r="B79" s="20" t="s">
        <v>12</v>
      </c>
      <c r="C79" s="21">
        <v>12918</v>
      </c>
      <c r="D79" s="22">
        <v>1004788.5</v>
      </c>
      <c r="E79" s="5" cm="1">
        <f t="array" ref="E79">INDEX(Лист2!$C:$C,MATCH(1,(Лист2!$A:$A=A79)*(Лист2!$B:$B=B79),0))</f>
        <v>10</v>
      </c>
      <c r="F79" s="30" cm="1">
        <f t="array" ref="F79">INDEX(Лист2!$D:$D,MATCH(1,(Лист2!$A:$A=A79)*(Лист2!$B:$B=B79),0))</f>
        <v>642</v>
      </c>
      <c r="G79" s="5" cm="1">
        <f t="array" ref="G79">INDEX(Лист2!$E:$E,MATCH(1,(Лист2!$A:$A=A79)*(Лист2!$B:$B=B79),0))</f>
        <v>556</v>
      </c>
      <c r="H79" s="9">
        <f t="shared" si="2"/>
        <v>100478.85</v>
      </c>
      <c r="I79">
        <f t="shared" si="3"/>
        <v>19</v>
      </c>
    </row>
    <row r="80" spans="1:9" ht="14.25" hidden="1" customHeight="1" x14ac:dyDescent="0.3">
      <c r="A80" s="15">
        <v>43959</v>
      </c>
      <c r="B80" s="16" t="s">
        <v>12</v>
      </c>
      <c r="C80" s="17">
        <v>12528</v>
      </c>
      <c r="D80" s="18">
        <v>959703</v>
      </c>
      <c r="E80" s="5" cm="1">
        <f t="array" ref="E80">INDEX(Лист2!$C:$C,MATCH(1,(Лист2!$A:$A=A80)*(Лист2!$B:$B=B80),0))</f>
        <v>10</v>
      </c>
      <c r="F80" s="30" cm="1">
        <f t="array" ref="F80">INDEX(Лист2!$D:$D,MATCH(1,(Лист2!$A:$A=A80)*(Лист2!$B:$B=B80),0))</f>
        <v>638</v>
      </c>
      <c r="G80" s="5" cm="1">
        <f t="array" ref="G80">INDEX(Лист2!$E:$E,MATCH(1,(Лист2!$A:$A=A80)*(Лист2!$B:$B=B80),0))</f>
        <v>547</v>
      </c>
      <c r="H80" s="9">
        <f t="shared" si="2"/>
        <v>95970.3</v>
      </c>
      <c r="I80">
        <f t="shared" si="3"/>
        <v>19</v>
      </c>
    </row>
    <row r="81" spans="1:9" ht="14.25" hidden="1" customHeight="1" x14ac:dyDescent="0.3">
      <c r="A81" s="19">
        <v>43958</v>
      </c>
      <c r="B81" s="20" t="s">
        <v>12</v>
      </c>
      <c r="C81" s="21">
        <v>11029.5</v>
      </c>
      <c r="D81" s="22">
        <v>863754</v>
      </c>
      <c r="E81" s="5" cm="1">
        <f t="array" ref="E81">INDEX(Лист2!$C:$C,MATCH(1,(Лист2!$A:$A=A81)*(Лист2!$B:$B=B81),0))</f>
        <v>10</v>
      </c>
      <c r="F81" s="30" cm="1">
        <f t="array" ref="F81">INDEX(Лист2!$D:$D,MATCH(1,(Лист2!$A:$A=A81)*(Лист2!$B:$B=B81),0))</f>
        <v>563</v>
      </c>
      <c r="G81" s="5" cm="1">
        <f t="array" ref="G81">INDEX(Лист2!$E:$E,MATCH(1,(Лист2!$A:$A=A81)*(Лист2!$B:$B=B81),0))</f>
        <v>486</v>
      </c>
      <c r="H81" s="9">
        <f t="shared" si="2"/>
        <v>86375.4</v>
      </c>
      <c r="I81">
        <f t="shared" si="3"/>
        <v>19</v>
      </c>
    </row>
    <row r="82" spans="1:9" ht="14.25" hidden="1" customHeight="1" x14ac:dyDescent="0.3">
      <c r="A82" s="15">
        <v>43975</v>
      </c>
      <c r="B82" s="16" t="s">
        <v>12</v>
      </c>
      <c r="C82" s="17">
        <v>9994.5</v>
      </c>
      <c r="D82" s="18">
        <v>828984</v>
      </c>
      <c r="E82" s="5" cm="1">
        <f t="array" ref="E82">INDEX(Лист2!$C:$C,MATCH(1,(Лист2!$A:$A=A82)*(Лист2!$B:$B=B82),0))</f>
        <v>10</v>
      </c>
      <c r="F82" s="30" cm="1">
        <f t="array" ref="F82">INDEX(Лист2!$D:$D,MATCH(1,(Лист2!$A:$A=A82)*(Лист2!$B:$B=B82),0))</f>
        <v>639</v>
      </c>
      <c r="G82" s="5" cm="1">
        <f t="array" ref="G82">INDEX(Лист2!$E:$E,MATCH(1,(Лист2!$A:$A=A82)*(Лист2!$B:$B=B82),0))</f>
        <v>557</v>
      </c>
      <c r="H82" s="9">
        <f t="shared" si="2"/>
        <v>82898.399999999994</v>
      </c>
      <c r="I82">
        <f t="shared" si="3"/>
        <v>21</v>
      </c>
    </row>
    <row r="83" spans="1:9" ht="14.25" hidden="1" customHeight="1" x14ac:dyDescent="0.3">
      <c r="A83" s="19">
        <v>43982</v>
      </c>
      <c r="B83" s="20" t="s">
        <v>12</v>
      </c>
      <c r="C83" s="21">
        <v>12724.5</v>
      </c>
      <c r="D83" s="22">
        <v>1045515</v>
      </c>
      <c r="E83" s="5" cm="1">
        <f t="array" ref="E83">INDEX(Лист2!$C:$C,MATCH(1,(Лист2!$A:$A=A83)*(Лист2!$B:$B=B83),0))</f>
        <v>10</v>
      </c>
      <c r="F83" s="30" cm="1">
        <f t="array" ref="F83">INDEX(Лист2!$D:$D,MATCH(1,(Лист2!$A:$A=A83)*(Лист2!$B:$B=B83),0))</f>
        <v>749</v>
      </c>
      <c r="G83" s="5" cm="1">
        <f t="array" ref="G83">INDEX(Лист2!$E:$E,MATCH(1,(Лист2!$A:$A=A83)*(Лист2!$B:$B=B83),0))</f>
        <v>655</v>
      </c>
      <c r="H83" s="9">
        <f t="shared" si="2"/>
        <v>104551.5</v>
      </c>
      <c r="I83">
        <f t="shared" si="3"/>
        <v>22</v>
      </c>
    </row>
    <row r="84" spans="1:9" ht="14.25" hidden="1" customHeight="1" x14ac:dyDescent="0.3">
      <c r="A84" s="15">
        <v>43981</v>
      </c>
      <c r="B84" s="16" t="s">
        <v>12</v>
      </c>
      <c r="C84" s="17">
        <v>14728.5</v>
      </c>
      <c r="D84" s="18">
        <v>1260483</v>
      </c>
      <c r="E84" s="5" cm="1">
        <f t="array" ref="E84">INDEX(Лист2!$C:$C,MATCH(1,(Лист2!$A:$A=A84)*(Лист2!$B:$B=B84),0))</f>
        <v>10</v>
      </c>
      <c r="F84" s="30" cm="1">
        <f t="array" ref="F84">INDEX(Лист2!$D:$D,MATCH(1,(Лист2!$A:$A=A84)*(Лист2!$B:$B=B84),0))</f>
        <v>865</v>
      </c>
      <c r="G84" s="5" cm="1">
        <f t="array" ref="G84">INDEX(Лист2!$E:$E,MATCH(1,(Лист2!$A:$A=A84)*(Лист2!$B:$B=B84),0))</f>
        <v>763</v>
      </c>
      <c r="H84" s="9">
        <f t="shared" si="2"/>
        <v>126048.3</v>
      </c>
      <c r="I84">
        <f t="shared" si="3"/>
        <v>22</v>
      </c>
    </row>
    <row r="85" spans="1:9" ht="14.25" hidden="1" customHeight="1" x14ac:dyDescent="0.3">
      <c r="A85" s="19">
        <v>43979</v>
      </c>
      <c r="B85" s="20" t="s">
        <v>12</v>
      </c>
      <c r="C85" s="21">
        <v>13038</v>
      </c>
      <c r="D85" s="22">
        <v>1114552.5</v>
      </c>
      <c r="E85" s="5" cm="1">
        <f t="array" ref="E85">INDEX(Лист2!$C:$C,MATCH(1,(Лист2!$A:$A=A85)*(Лист2!$B:$B=B85),0))</f>
        <v>10</v>
      </c>
      <c r="F85" s="30" cm="1">
        <f t="array" ref="F85">INDEX(Лист2!$D:$D,MATCH(1,(Лист2!$A:$A=A85)*(Лист2!$B:$B=B85),0))</f>
        <v>791</v>
      </c>
      <c r="G85" s="5" cm="1">
        <f t="array" ref="G85">INDEX(Лист2!$E:$E,MATCH(1,(Лист2!$A:$A=A85)*(Лист2!$B:$B=B85),0))</f>
        <v>697</v>
      </c>
      <c r="H85" s="9">
        <f t="shared" si="2"/>
        <v>111455.25</v>
      </c>
      <c r="I85">
        <f t="shared" si="3"/>
        <v>22</v>
      </c>
    </row>
    <row r="86" spans="1:9" ht="14.25" hidden="1" customHeight="1" x14ac:dyDescent="0.3">
      <c r="A86" s="15">
        <v>43967</v>
      </c>
      <c r="B86" s="16" t="s">
        <v>13</v>
      </c>
      <c r="C86" s="17">
        <v>35482.5</v>
      </c>
      <c r="D86" s="18">
        <v>3222517.5</v>
      </c>
      <c r="E86" s="5" cm="1">
        <f t="array" ref="E86">INDEX(Лист2!$C:$C,MATCH(1,(Лист2!$A:$A=A86)*(Лист2!$B:$B=B86),0))</f>
        <v>19</v>
      </c>
      <c r="F86" s="30" cm="1">
        <f t="array" ref="F86">INDEX(Лист2!$D:$D,MATCH(1,(Лист2!$A:$A=A86)*(Лист2!$B:$B=B86),0))</f>
        <v>2080</v>
      </c>
      <c r="G86" s="5" cm="1">
        <f t="array" ref="G86">INDEX(Лист2!$E:$E,MATCH(1,(Лист2!$A:$A=A86)*(Лист2!$B:$B=B86),0))</f>
        <v>1844</v>
      </c>
      <c r="H86" s="9">
        <f t="shared" si="2"/>
        <v>169606.18421052632</v>
      </c>
      <c r="I86">
        <f t="shared" si="3"/>
        <v>20</v>
      </c>
    </row>
    <row r="87" spans="1:9" ht="14.25" hidden="1" customHeight="1" x14ac:dyDescent="0.3">
      <c r="A87" s="19">
        <v>43970</v>
      </c>
      <c r="B87" s="20" t="s">
        <v>13</v>
      </c>
      <c r="C87" s="21">
        <v>32434.5</v>
      </c>
      <c r="D87" s="22">
        <v>2865337.5</v>
      </c>
      <c r="E87" s="5" cm="1">
        <f t="array" ref="E87">INDEX(Лист2!$C:$C,MATCH(1,(Лист2!$A:$A=A87)*(Лист2!$B:$B=B87),0))</f>
        <v>19</v>
      </c>
      <c r="F87" s="30" cm="1">
        <f t="array" ref="F87">INDEX(Лист2!$D:$D,MATCH(1,(Лист2!$A:$A=A87)*(Лист2!$B:$B=B87),0))</f>
        <v>1999</v>
      </c>
      <c r="G87" s="5" cm="1">
        <f t="array" ref="G87">INDEX(Лист2!$E:$E,MATCH(1,(Лист2!$A:$A=A87)*(Лист2!$B:$B=B87),0))</f>
        <v>1799</v>
      </c>
      <c r="H87" s="9">
        <f t="shared" si="2"/>
        <v>150807.23684210525</v>
      </c>
      <c r="I87">
        <f t="shared" si="3"/>
        <v>21</v>
      </c>
    </row>
    <row r="88" spans="1:9" ht="14.25" hidden="1" customHeight="1" x14ac:dyDescent="0.3">
      <c r="A88" s="15">
        <v>43968</v>
      </c>
      <c r="B88" s="16" t="s">
        <v>13</v>
      </c>
      <c r="C88" s="17">
        <v>30486</v>
      </c>
      <c r="D88" s="18">
        <v>2694289.5</v>
      </c>
      <c r="E88" s="5" cm="1">
        <f t="array" ref="E88">INDEX(Лист2!$C:$C,MATCH(1,(Лист2!$A:$A=A88)*(Лист2!$B:$B=B88),0))</f>
        <v>19</v>
      </c>
      <c r="F88" s="30" cm="1">
        <f t="array" ref="F88">INDEX(Лист2!$D:$D,MATCH(1,(Лист2!$A:$A=A88)*(Лист2!$B:$B=B88),0))</f>
        <v>1871</v>
      </c>
      <c r="G88" s="5" cm="1">
        <f t="array" ref="G88">INDEX(Лист2!$E:$E,MATCH(1,(Лист2!$A:$A=A88)*(Лист2!$B:$B=B88),0))</f>
        <v>1660</v>
      </c>
      <c r="H88" s="9">
        <f t="shared" si="2"/>
        <v>141804.71052631579</v>
      </c>
      <c r="I88">
        <f t="shared" si="3"/>
        <v>20</v>
      </c>
    </row>
    <row r="89" spans="1:9" ht="14.25" hidden="1" customHeight="1" x14ac:dyDescent="0.3">
      <c r="A89" s="19">
        <v>43960</v>
      </c>
      <c r="B89" s="20" t="s">
        <v>13</v>
      </c>
      <c r="C89" s="21">
        <v>32079</v>
      </c>
      <c r="D89" s="22">
        <v>2902167</v>
      </c>
      <c r="E89" s="5" cm="1">
        <f t="array" ref="E89">INDEX(Лист2!$C:$C,MATCH(1,(Лист2!$A:$A=A89)*(Лист2!$B:$B=B89),0))</f>
        <v>19</v>
      </c>
      <c r="F89" s="30" cm="1">
        <f t="array" ref="F89">INDEX(Лист2!$D:$D,MATCH(1,(Лист2!$A:$A=A89)*(Лист2!$B:$B=B89),0))</f>
        <v>1851</v>
      </c>
      <c r="G89" s="5" cm="1">
        <f t="array" ref="G89">INDEX(Лист2!$E:$E,MATCH(1,(Лист2!$A:$A=A89)*(Лист2!$B:$B=B89),0))</f>
        <v>1635</v>
      </c>
      <c r="H89" s="9">
        <f t="shared" si="2"/>
        <v>152745.63157894736</v>
      </c>
      <c r="I89">
        <f t="shared" si="3"/>
        <v>19</v>
      </c>
    </row>
    <row r="90" spans="1:9" ht="14.25" hidden="1" customHeight="1" x14ac:dyDescent="0.3">
      <c r="A90" s="15">
        <v>43955</v>
      </c>
      <c r="B90" s="16" t="s">
        <v>13</v>
      </c>
      <c r="C90" s="17">
        <v>27072</v>
      </c>
      <c r="D90" s="18">
        <v>2450968.5</v>
      </c>
      <c r="E90" s="5" cm="1">
        <f t="array" ref="E90">INDEX(Лист2!$C:$C,MATCH(1,(Лист2!$A:$A=A90)*(Лист2!$B:$B=B90),0))</f>
        <v>19</v>
      </c>
      <c r="F90" s="30" cm="1">
        <f t="array" ref="F90">INDEX(Лист2!$D:$D,MATCH(1,(Лист2!$A:$A=A90)*(Лист2!$B:$B=B90),0))</f>
        <v>1582</v>
      </c>
      <c r="G90" s="5" cm="1">
        <f t="array" ref="G90">INDEX(Лист2!$E:$E,MATCH(1,(Лист2!$A:$A=A90)*(Лист2!$B:$B=B90),0))</f>
        <v>1403</v>
      </c>
      <c r="H90" s="9">
        <f t="shared" si="2"/>
        <v>128998.34210526316</v>
      </c>
      <c r="I90">
        <f t="shared" si="3"/>
        <v>19</v>
      </c>
    </row>
    <row r="91" spans="1:9" ht="14.25" hidden="1" customHeight="1" x14ac:dyDescent="0.3">
      <c r="A91" s="19">
        <v>43950</v>
      </c>
      <c r="B91" s="20" t="s">
        <v>13</v>
      </c>
      <c r="C91" s="21">
        <v>25917</v>
      </c>
      <c r="D91" s="22">
        <v>2397588</v>
      </c>
      <c r="E91" s="5" cm="1">
        <f t="array" ref="E91">INDEX(Лист2!$C:$C,MATCH(1,(Лист2!$A:$A=A91)*(Лист2!$B:$B=B91),0))</f>
        <v>18</v>
      </c>
      <c r="F91" s="30" cm="1">
        <f t="array" ref="F91">INDEX(Лист2!$D:$D,MATCH(1,(Лист2!$A:$A=A91)*(Лист2!$B:$B=B91),0))</f>
        <v>1534</v>
      </c>
      <c r="G91" s="5" cm="1">
        <f t="array" ref="G91">INDEX(Лист2!$E:$E,MATCH(1,(Лист2!$A:$A=A91)*(Лист2!$B:$B=B91),0))</f>
        <v>1369</v>
      </c>
      <c r="H91" s="9">
        <f t="shared" si="2"/>
        <v>133199.33333333334</v>
      </c>
      <c r="I91">
        <f t="shared" si="3"/>
        <v>18</v>
      </c>
    </row>
    <row r="92" spans="1:9" ht="14.25" hidden="1" customHeight="1" x14ac:dyDescent="0.3">
      <c r="A92" s="15">
        <v>43953</v>
      </c>
      <c r="B92" s="16" t="s">
        <v>13</v>
      </c>
      <c r="C92" s="17">
        <v>19461</v>
      </c>
      <c r="D92" s="18">
        <v>1799230.5</v>
      </c>
      <c r="E92" s="5" cm="1">
        <f t="array" ref="E92">INDEX(Лист2!$C:$C,MATCH(1,(Лист2!$A:$A=A92)*(Лист2!$B:$B=B92),0))</f>
        <v>19</v>
      </c>
      <c r="F92" s="30" cm="1">
        <f t="array" ref="F92">INDEX(Лист2!$D:$D,MATCH(1,(Лист2!$A:$A=A92)*(Лист2!$B:$B=B92),0))</f>
        <v>1217</v>
      </c>
      <c r="G92" s="5" cm="1">
        <f t="array" ref="G92">INDEX(Лист2!$E:$E,MATCH(1,(Лист2!$A:$A=A92)*(Лист2!$B:$B=B92),0))</f>
        <v>1048</v>
      </c>
      <c r="H92" s="9">
        <f t="shared" si="2"/>
        <v>94696.34210526316</v>
      </c>
      <c r="I92">
        <f t="shared" si="3"/>
        <v>18</v>
      </c>
    </row>
    <row r="93" spans="1:9" ht="14.25" hidden="1" customHeight="1" x14ac:dyDescent="0.3">
      <c r="A93" s="19">
        <v>43977</v>
      </c>
      <c r="B93" s="20" t="s">
        <v>13</v>
      </c>
      <c r="C93" s="21">
        <v>31407</v>
      </c>
      <c r="D93" s="22">
        <v>2907411</v>
      </c>
      <c r="E93" s="5" cm="1">
        <f t="array" ref="E93">INDEX(Лист2!$C:$C,MATCH(1,(Лист2!$A:$A=A93)*(Лист2!$B:$B=B93),0))</f>
        <v>20</v>
      </c>
      <c r="F93" s="30" cm="1">
        <f t="array" ref="F93">INDEX(Лист2!$D:$D,MATCH(1,(Лист2!$A:$A=A93)*(Лист2!$B:$B=B93),0))</f>
        <v>2036</v>
      </c>
      <c r="G93" s="5" cm="1">
        <f t="array" ref="G93">INDEX(Лист2!$E:$E,MATCH(1,(Лист2!$A:$A=A93)*(Лист2!$B:$B=B93),0))</f>
        <v>1790</v>
      </c>
      <c r="H93" s="9">
        <f t="shared" si="2"/>
        <v>145370.54999999999</v>
      </c>
      <c r="I93">
        <f t="shared" si="3"/>
        <v>22</v>
      </c>
    </row>
    <row r="94" spans="1:9" ht="14.25" hidden="1" customHeight="1" x14ac:dyDescent="0.3">
      <c r="A94" s="15">
        <v>43952</v>
      </c>
      <c r="B94" s="16" t="s">
        <v>13</v>
      </c>
      <c r="C94" s="17">
        <v>25792.5</v>
      </c>
      <c r="D94" s="18">
        <v>2374356</v>
      </c>
      <c r="E94" s="5" cm="1">
        <f t="array" ref="E94">INDEX(Лист2!$C:$C,MATCH(1,(Лист2!$A:$A=A94)*(Лист2!$B:$B=B94),0))</f>
        <v>19</v>
      </c>
      <c r="F94" s="30" cm="1">
        <f t="array" ref="F94">INDEX(Лист2!$D:$D,MATCH(1,(Лист2!$A:$A=A94)*(Лист2!$B:$B=B94),0))</f>
        <v>1497</v>
      </c>
      <c r="G94" s="5" cm="1">
        <f t="array" ref="G94">INDEX(Лист2!$E:$E,MATCH(1,(Лист2!$A:$A=A94)*(Лист2!$B:$B=B94),0))</f>
        <v>1291</v>
      </c>
      <c r="H94" s="9">
        <f t="shared" si="2"/>
        <v>124966.10526315789</v>
      </c>
      <c r="I94">
        <f t="shared" si="3"/>
        <v>18</v>
      </c>
    </row>
    <row r="95" spans="1:9" ht="14.25" hidden="1" customHeight="1" x14ac:dyDescent="0.3">
      <c r="A95" s="19">
        <v>43963</v>
      </c>
      <c r="B95" s="20" t="s">
        <v>13</v>
      </c>
      <c r="C95" s="21">
        <v>26032.5</v>
      </c>
      <c r="D95" s="22">
        <v>2370432</v>
      </c>
      <c r="E95" s="5" cm="1">
        <f t="array" ref="E95">INDEX(Лист2!$C:$C,MATCH(1,(Лист2!$A:$A=A95)*(Лист2!$B:$B=B95),0))</f>
        <v>19</v>
      </c>
      <c r="F95" s="30" cm="1">
        <f t="array" ref="F95">INDEX(Лист2!$D:$D,MATCH(1,(Лист2!$A:$A=A95)*(Лист2!$B:$B=B95),0))</f>
        <v>1649</v>
      </c>
      <c r="G95" s="5" cm="1">
        <f t="array" ref="G95">INDEX(Лист2!$E:$E,MATCH(1,(Лист2!$A:$A=A95)*(Лист2!$B:$B=B95),0))</f>
        <v>1460</v>
      </c>
      <c r="H95" s="9">
        <f t="shared" si="2"/>
        <v>124759.57894736843</v>
      </c>
      <c r="I95">
        <f t="shared" si="3"/>
        <v>20</v>
      </c>
    </row>
    <row r="96" spans="1:9" ht="14.25" hidden="1" customHeight="1" x14ac:dyDescent="0.3">
      <c r="A96" s="15">
        <v>43972</v>
      </c>
      <c r="B96" s="16" t="s">
        <v>13</v>
      </c>
      <c r="C96" s="17">
        <v>31707</v>
      </c>
      <c r="D96" s="18">
        <v>2853181.5</v>
      </c>
      <c r="E96" s="5" cm="1">
        <f t="array" ref="E96">INDEX(Лист2!$C:$C,MATCH(1,(Лист2!$A:$A=A96)*(Лист2!$B:$B=B96),0))</f>
        <v>19</v>
      </c>
      <c r="F96" s="30" cm="1">
        <f t="array" ref="F96">INDEX(Лист2!$D:$D,MATCH(1,(Лист2!$A:$A=A96)*(Лист2!$B:$B=B96),0))</f>
        <v>1949</v>
      </c>
      <c r="G96" s="5" cm="1">
        <f t="array" ref="G96">INDEX(Лист2!$E:$E,MATCH(1,(Лист2!$A:$A=A96)*(Лист2!$B:$B=B96),0))</f>
        <v>1724</v>
      </c>
      <c r="H96" s="9">
        <f t="shared" si="2"/>
        <v>150167.44736842104</v>
      </c>
      <c r="I96">
        <f t="shared" si="3"/>
        <v>21</v>
      </c>
    </row>
    <row r="97" spans="1:9" ht="14.25" hidden="1" customHeight="1" x14ac:dyDescent="0.3">
      <c r="A97" s="19">
        <v>43971</v>
      </c>
      <c r="B97" s="20" t="s">
        <v>13</v>
      </c>
      <c r="C97" s="21">
        <v>29955</v>
      </c>
      <c r="D97" s="22">
        <v>2692230</v>
      </c>
      <c r="E97" s="5" cm="1">
        <f t="array" ref="E97">INDEX(Лист2!$C:$C,MATCH(1,(Лист2!$A:$A=A97)*(Лист2!$B:$B=B97),0))</f>
        <v>19</v>
      </c>
      <c r="F97" s="30" cm="1">
        <f t="array" ref="F97">INDEX(Лист2!$D:$D,MATCH(1,(Лист2!$A:$A=A97)*(Лист2!$B:$B=B97),0))</f>
        <v>1889</v>
      </c>
      <c r="G97" s="5" cm="1">
        <f t="array" ref="G97">INDEX(Лист2!$E:$E,MATCH(1,(Лист2!$A:$A=A97)*(Лист2!$B:$B=B97),0))</f>
        <v>1690</v>
      </c>
      <c r="H97" s="9">
        <f t="shared" si="2"/>
        <v>141696.31578947368</v>
      </c>
      <c r="I97">
        <f t="shared" si="3"/>
        <v>21</v>
      </c>
    </row>
    <row r="98" spans="1:9" ht="14.25" hidden="1" customHeight="1" x14ac:dyDescent="0.3">
      <c r="A98" s="15">
        <v>43956</v>
      </c>
      <c r="B98" s="16" t="s">
        <v>13</v>
      </c>
      <c r="C98" s="17">
        <v>22848</v>
      </c>
      <c r="D98" s="18">
        <v>2079900</v>
      </c>
      <c r="E98" s="5" cm="1">
        <f t="array" ref="E98">INDEX(Лист2!$C:$C,MATCH(1,(Лист2!$A:$A=A98)*(Лист2!$B:$B=B98),0))</f>
        <v>19</v>
      </c>
      <c r="F98" s="30" cm="1">
        <f t="array" ref="F98">INDEX(Лист2!$D:$D,MATCH(1,(Лист2!$A:$A=A98)*(Лист2!$B:$B=B98),0))</f>
        <v>1417</v>
      </c>
      <c r="G98" s="5" cm="1">
        <f t="array" ref="G98">INDEX(Лист2!$E:$E,MATCH(1,(Лист2!$A:$A=A98)*(Лист2!$B:$B=B98),0))</f>
        <v>1245</v>
      </c>
      <c r="H98" s="9">
        <f t="shared" si="2"/>
        <v>109468.42105263157</v>
      </c>
      <c r="I98">
        <f t="shared" si="3"/>
        <v>19</v>
      </c>
    </row>
    <row r="99" spans="1:9" ht="14.25" hidden="1" customHeight="1" x14ac:dyDescent="0.3">
      <c r="A99" s="19">
        <v>43949</v>
      </c>
      <c r="B99" s="20" t="s">
        <v>13</v>
      </c>
      <c r="C99" s="21">
        <v>23314.5</v>
      </c>
      <c r="D99" s="22">
        <v>2136817.5</v>
      </c>
      <c r="E99" s="5" cm="1">
        <f t="array" ref="E99">INDEX(Лист2!$C:$C,MATCH(1,(Лист2!$A:$A=A99)*(Лист2!$B:$B=B99),0))</f>
        <v>17</v>
      </c>
      <c r="F99" s="30" cm="1">
        <f t="array" ref="F99">INDEX(Лист2!$D:$D,MATCH(1,(Лист2!$A:$A=A99)*(Лист2!$B:$B=B99),0))</f>
        <v>1439</v>
      </c>
      <c r="G99" s="5" cm="1">
        <f t="array" ref="G99">INDEX(Лист2!$E:$E,MATCH(1,(Лист2!$A:$A=A99)*(Лист2!$B:$B=B99),0))</f>
        <v>1265</v>
      </c>
      <c r="H99" s="9">
        <f t="shared" si="2"/>
        <v>125695.14705882352</v>
      </c>
      <c r="I99">
        <f t="shared" si="3"/>
        <v>18</v>
      </c>
    </row>
    <row r="100" spans="1:9" ht="14.25" hidden="1" customHeight="1" x14ac:dyDescent="0.3">
      <c r="A100" s="15">
        <v>43964</v>
      </c>
      <c r="B100" s="16" t="s">
        <v>13</v>
      </c>
      <c r="C100" s="17">
        <v>26464.5</v>
      </c>
      <c r="D100" s="18">
        <v>2373337.5</v>
      </c>
      <c r="E100" s="5" cm="1">
        <f t="array" ref="E100">INDEX(Лист2!$C:$C,MATCH(1,(Лист2!$A:$A=A100)*(Лист2!$B:$B=B100),0))</f>
        <v>19</v>
      </c>
      <c r="F100" s="30" cm="1">
        <f t="array" ref="F100">INDEX(Лист2!$D:$D,MATCH(1,(Лист2!$A:$A=A100)*(Лист2!$B:$B=B100),0))</f>
        <v>1625</v>
      </c>
      <c r="G100" s="5" cm="1">
        <f t="array" ref="G100">INDEX(Лист2!$E:$E,MATCH(1,(Лист2!$A:$A=A100)*(Лист2!$B:$B=B100),0))</f>
        <v>1444</v>
      </c>
      <c r="H100" s="9">
        <f t="shared" si="2"/>
        <v>124912.5</v>
      </c>
      <c r="I100">
        <f t="shared" si="3"/>
        <v>20</v>
      </c>
    </row>
    <row r="101" spans="1:9" ht="14.25" hidden="1" customHeight="1" x14ac:dyDescent="0.3">
      <c r="A101" s="19">
        <v>43954</v>
      </c>
      <c r="B101" s="20" t="s">
        <v>13</v>
      </c>
      <c r="C101" s="21">
        <v>23539.5</v>
      </c>
      <c r="D101" s="22">
        <v>2170309.5</v>
      </c>
      <c r="E101" s="5" cm="1">
        <f t="array" ref="E101">INDEX(Лист2!$C:$C,MATCH(1,(Лист2!$A:$A=A101)*(Лист2!$B:$B=B101),0))</f>
        <v>19</v>
      </c>
      <c r="F101" s="30" cm="1">
        <f t="array" ref="F101">INDEX(Лист2!$D:$D,MATCH(1,(Лист2!$A:$A=A101)*(Лист2!$B:$B=B101),0))</f>
        <v>1402</v>
      </c>
      <c r="G101" s="5" cm="1">
        <f t="array" ref="G101">INDEX(Лист2!$E:$E,MATCH(1,(Лист2!$A:$A=A101)*(Лист2!$B:$B=B101),0))</f>
        <v>1234</v>
      </c>
      <c r="H101" s="9">
        <f t="shared" si="2"/>
        <v>114226.81578947368</v>
      </c>
      <c r="I101">
        <f t="shared" si="3"/>
        <v>18</v>
      </c>
    </row>
    <row r="102" spans="1:9" ht="14.25" hidden="1" customHeight="1" x14ac:dyDescent="0.3">
      <c r="A102" s="15">
        <v>43957</v>
      </c>
      <c r="B102" s="16" t="s">
        <v>13</v>
      </c>
      <c r="C102" s="17">
        <v>24678</v>
      </c>
      <c r="D102" s="18">
        <v>2232519</v>
      </c>
      <c r="E102" s="5" cm="1">
        <f t="array" ref="E102">INDEX(Лист2!$C:$C,MATCH(1,(Лист2!$A:$A=A102)*(Лист2!$B:$B=B102),0))</f>
        <v>19</v>
      </c>
      <c r="F102" s="30" cm="1">
        <f t="array" ref="F102">INDEX(Лист2!$D:$D,MATCH(1,(Лист2!$A:$A=A102)*(Лист2!$B:$B=B102),0))</f>
        <v>1499</v>
      </c>
      <c r="G102" s="5" cm="1">
        <f t="array" ref="G102">INDEX(Лист2!$E:$E,MATCH(1,(Лист2!$A:$A=A102)*(Лист2!$B:$B=B102),0))</f>
        <v>1323</v>
      </c>
      <c r="H102" s="9">
        <f t="shared" si="2"/>
        <v>117501</v>
      </c>
      <c r="I102">
        <f t="shared" si="3"/>
        <v>19</v>
      </c>
    </row>
    <row r="103" spans="1:9" ht="14.25" hidden="1" customHeight="1" x14ac:dyDescent="0.3">
      <c r="A103" s="19">
        <v>43974</v>
      </c>
      <c r="B103" s="20" t="s">
        <v>13</v>
      </c>
      <c r="C103" s="21">
        <v>38176.5</v>
      </c>
      <c r="D103" s="22">
        <v>3385372.5</v>
      </c>
      <c r="E103" s="5" cm="1">
        <f t="array" ref="E103">INDEX(Лист2!$C:$C,MATCH(1,(Лист2!$A:$A=A103)*(Лист2!$B:$B=B103),0))</f>
        <v>20</v>
      </c>
      <c r="F103" s="30" cm="1">
        <f t="array" ref="F103">INDEX(Лист2!$D:$D,MATCH(1,(Лист2!$A:$A=A103)*(Лист2!$B:$B=B103),0))</f>
        <v>2266</v>
      </c>
      <c r="G103" s="5" cm="1">
        <f t="array" ref="G103">INDEX(Лист2!$E:$E,MATCH(1,(Лист2!$A:$A=A103)*(Лист2!$B:$B=B103),0))</f>
        <v>1993</v>
      </c>
      <c r="H103" s="9">
        <f t="shared" si="2"/>
        <v>169268.625</v>
      </c>
      <c r="I103">
        <f t="shared" si="3"/>
        <v>21</v>
      </c>
    </row>
    <row r="104" spans="1:9" ht="14.25" hidden="1" customHeight="1" x14ac:dyDescent="0.3">
      <c r="A104" s="15">
        <v>43976</v>
      </c>
      <c r="B104" s="16" t="s">
        <v>13</v>
      </c>
      <c r="C104" s="17">
        <v>30603</v>
      </c>
      <c r="D104" s="18">
        <v>2865727.5</v>
      </c>
      <c r="E104" s="5" cm="1">
        <f t="array" ref="E104">INDEX(Лист2!$C:$C,MATCH(1,(Лист2!$A:$A=A104)*(Лист2!$B:$B=B104),0))</f>
        <v>20</v>
      </c>
      <c r="F104" s="30" cm="1">
        <f t="array" ref="F104">INDEX(Лист2!$D:$D,MATCH(1,(Лист2!$A:$A=A104)*(Лист2!$B:$B=B104),0))</f>
        <v>2011</v>
      </c>
      <c r="G104" s="5" cm="1">
        <f t="array" ref="G104">INDEX(Лист2!$E:$E,MATCH(1,(Лист2!$A:$A=A104)*(Лист2!$B:$B=B104),0))</f>
        <v>1791</v>
      </c>
      <c r="H104" s="9">
        <f t="shared" si="2"/>
        <v>143286.375</v>
      </c>
      <c r="I104">
        <f t="shared" si="3"/>
        <v>22</v>
      </c>
    </row>
    <row r="105" spans="1:9" ht="14.25" hidden="1" customHeight="1" x14ac:dyDescent="0.3">
      <c r="A105" s="19">
        <v>43951</v>
      </c>
      <c r="B105" s="20" t="s">
        <v>13</v>
      </c>
      <c r="C105" s="21">
        <v>24211.5</v>
      </c>
      <c r="D105" s="22">
        <v>2267664</v>
      </c>
      <c r="E105" s="5" cm="1">
        <f t="array" ref="E105">INDEX(Лист2!$C:$C,MATCH(1,(Лист2!$A:$A=A105)*(Лист2!$B:$B=B105),0))</f>
        <v>19</v>
      </c>
      <c r="F105" s="30" cm="1">
        <f t="array" ref="F105">INDEX(Лист2!$D:$D,MATCH(1,(Лист2!$A:$A=A105)*(Лист2!$B:$B=B105),0))</f>
        <v>1499</v>
      </c>
      <c r="G105" s="5" cm="1">
        <f t="array" ref="G105">INDEX(Лист2!$E:$E,MATCH(1,(Лист2!$A:$A=A105)*(Лист2!$B:$B=B105),0))</f>
        <v>1322</v>
      </c>
      <c r="H105" s="9">
        <f t="shared" si="2"/>
        <v>119350.73684210527</v>
      </c>
      <c r="I105">
        <f t="shared" si="3"/>
        <v>18</v>
      </c>
    </row>
    <row r="106" spans="1:9" ht="14.25" hidden="1" customHeight="1" x14ac:dyDescent="0.3">
      <c r="A106" s="15">
        <v>43961</v>
      </c>
      <c r="B106" s="16" t="s">
        <v>13</v>
      </c>
      <c r="C106" s="17">
        <v>31399.5</v>
      </c>
      <c r="D106" s="18">
        <v>2862298.5</v>
      </c>
      <c r="E106" s="5" cm="1">
        <f t="array" ref="E106">INDEX(Лист2!$C:$C,MATCH(1,(Лист2!$A:$A=A106)*(Лист2!$B:$B=B106),0))</f>
        <v>19</v>
      </c>
      <c r="F106" s="30" cm="1">
        <f t="array" ref="F106">INDEX(Лист2!$D:$D,MATCH(1,(Лист2!$A:$A=A106)*(Лист2!$B:$B=B106),0))</f>
        <v>1848</v>
      </c>
      <c r="G106" s="5" cm="1">
        <f t="array" ref="G106">INDEX(Лист2!$E:$E,MATCH(1,(Лист2!$A:$A=A106)*(Лист2!$B:$B=B106),0))</f>
        <v>1649</v>
      </c>
      <c r="H106" s="9">
        <f t="shared" si="2"/>
        <v>150647.28947368421</v>
      </c>
      <c r="I106">
        <f t="shared" si="3"/>
        <v>19</v>
      </c>
    </row>
    <row r="107" spans="1:9" ht="14.25" hidden="1" customHeight="1" x14ac:dyDescent="0.3">
      <c r="A107" s="19">
        <v>43959</v>
      </c>
      <c r="B107" s="20" t="s">
        <v>13</v>
      </c>
      <c r="C107" s="21">
        <v>25294.5</v>
      </c>
      <c r="D107" s="22">
        <v>2271454.5</v>
      </c>
      <c r="E107" s="5" cm="1">
        <f t="array" ref="E107">INDEX(Лист2!$C:$C,MATCH(1,(Лист2!$A:$A=A107)*(Лист2!$B:$B=B107),0))</f>
        <v>19</v>
      </c>
      <c r="F107" s="30" cm="1">
        <f t="array" ref="F107">INDEX(Лист2!$D:$D,MATCH(1,(Лист2!$A:$A=A107)*(Лист2!$B:$B=B107),0))</f>
        <v>1522</v>
      </c>
      <c r="G107" s="5" cm="1">
        <f t="array" ref="G107">INDEX(Лист2!$E:$E,MATCH(1,(Лист2!$A:$A=A107)*(Лист2!$B:$B=B107),0))</f>
        <v>1340</v>
      </c>
      <c r="H107" s="9">
        <f t="shared" si="2"/>
        <v>119550.23684210527</v>
      </c>
      <c r="I107">
        <f t="shared" si="3"/>
        <v>19</v>
      </c>
    </row>
    <row r="108" spans="1:9" ht="14.25" hidden="1" customHeight="1" x14ac:dyDescent="0.3">
      <c r="A108" s="15">
        <v>43958</v>
      </c>
      <c r="B108" s="16" t="s">
        <v>13</v>
      </c>
      <c r="C108" s="17">
        <v>25468.5</v>
      </c>
      <c r="D108" s="18">
        <v>2350672.5</v>
      </c>
      <c r="E108" s="5" cm="1">
        <f t="array" ref="E108">INDEX(Лист2!$C:$C,MATCH(1,(Лист2!$A:$A=A108)*(Лист2!$B:$B=B108),0))</f>
        <v>19</v>
      </c>
      <c r="F108" s="30" cm="1">
        <f t="array" ref="F108">INDEX(Лист2!$D:$D,MATCH(1,(Лист2!$A:$A=A108)*(Лист2!$B:$B=B108),0))</f>
        <v>1530</v>
      </c>
      <c r="G108" s="5" cm="1">
        <f t="array" ref="G108">INDEX(Лист2!$E:$E,MATCH(1,(Лист2!$A:$A=A108)*(Лист2!$B:$B=B108),0))</f>
        <v>1338</v>
      </c>
      <c r="H108" s="9">
        <f t="shared" si="2"/>
        <v>123719.60526315789</v>
      </c>
      <c r="I108">
        <f t="shared" si="3"/>
        <v>19</v>
      </c>
    </row>
    <row r="109" spans="1:9" ht="14.25" hidden="1" customHeight="1" x14ac:dyDescent="0.3">
      <c r="A109" s="19">
        <v>43975</v>
      </c>
      <c r="B109" s="20" t="s">
        <v>13</v>
      </c>
      <c r="C109" s="21">
        <v>31854</v>
      </c>
      <c r="D109" s="22">
        <v>2915533.5</v>
      </c>
      <c r="E109" s="5" cm="1">
        <f t="array" ref="E109">INDEX(Лист2!$C:$C,MATCH(1,(Лист2!$A:$A=A109)*(Лист2!$B:$B=B109),0))</f>
        <v>20</v>
      </c>
      <c r="F109" s="30" cm="1">
        <f t="array" ref="F109">INDEX(Лист2!$D:$D,MATCH(1,(Лист2!$A:$A=A109)*(Лист2!$B:$B=B109),0))</f>
        <v>2015</v>
      </c>
      <c r="G109" s="5" cm="1">
        <f t="array" ref="G109">INDEX(Лист2!$E:$E,MATCH(1,(Лист2!$A:$A=A109)*(Лист2!$B:$B=B109),0))</f>
        <v>1803</v>
      </c>
      <c r="H109" s="9">
        <f t="shared" si="2"/>
        <v>145776.67499999999</v>
      </c>
      <c r="I109">
        <f t="shared" si="3"/>
        <v>21</v>
      </c>
    </row>
    <row r="110" spans="1:9" ht="14.25" hidden="1" customHeight="1" x14ac:dyDescent="0.3">
      <c r="A110" s="15">
        <v>43982</v>
      </c>
      <c r="B110" s="16" t="s">
        <v>13</v>
      </c>
      <c r="C110" s="17">
        <v>32359.5</v>
      </c>
      <c r="D110" s="18">
        <v>2991999</v>
      </c>
      <c r="E110" s="5" cm="1">
        <f t="array" ref="E110">INDEX(Лист2!$C:$C,MATCH(1,(Лист2!$A:$A=A110)*(Лист2!$B:$B=B110),0))</f>
        <v>20</v>
      </c>
      <c r="F110" s="30" cm="1">
        <f t="array" ref="F110">INDEX(Лист2!$D:$D,MATCH(1,(Лист2!$A:$A=A110)*(Лист2!$B:$B=B110),0))</f>
        <v>2060</v>
      </c>
      <c r="G110" s="5" cm="1">
        <f t="array" ref="G110">INDEX(Лист2!$E:$E,MATCH(1,(Лист2!$A:$A=A110)*(Лист2!$B:$B=B110),0))</f>
        <v>1826</v>
      </c>
      <c r="H110" s="9">
        <f t="shared" si="2"/>
        <v>149599.95000000001</v>
      </c>
      <c r="I110">
        <f t="shared" si="3"/>
        <v>22</v>
      </c>
    </row>
    <row r="111" spans="1:9" ht="14.25" hidden="1" customHeight="1" x14ac:dyDescent="0.3">
      <c r="A111" s="19">
        <v>43981</v>
      </c>
      <c r="B111" s="20" t="s">
        <v>13</v>
      </c>
      <c r="C111" s="21">
        <v>39867</v>
      </c>
      <c r="D111" s="22">
        <v>3654166.5</v>
      </c>
      <c r="E111" s="5" cm="1">
        <f t="array" ref="E111">INDEX(Лист2!$C:$C,MATCH(1,(Лист2!$A:$A=A111)*(Лист2!$B:$B=B111),0))</f>
        <v>20</v>
      </c>
      <c r="F111" s="30" cm="1">
        <f t="array" ref="F111">INDEX(Лист2!$D:$D,MATCH(1,(Лист2!$A:$A=A111)*(Лист2!$B:$B=B111),0))</f>
        <v>2451</v>
      </c>
      <c r="G111" s="5" cm="1">
        <f t="array" ref="G111">INDEX(Лист2!$E:$E,MATCH(1,(Лист2!$A:$A=A111)*(Лист2!$B:$B=B111),0))</f>
        <v>2178</v>
      </c>
      <c r="H111" s="9">
        <f t="shared" si="2"/>
        <v>182708.32500000001</v>
      </c>
      <c r="I111">
        <f t="shared" si="3"/>
        <v>22</v>
      </c>
    </row>
    <row r="112" spans="1:9" ht="14.25" hidden="1" customHeight="1" x14ac:dyDescent="0.3">
      <c r="A112" s="15">
        <v>43979</v>
      </c>
      <c r="B112" s="16" t="s">
        <v>13</v>
      </c>
      <c r="C112" s="17">
        <v>31974</v>
      </c>
      <c r="D112" s="18">
        <v>3004213.5</v>
      </c>
      <c r="E112" s="5" cm="1">
        <f t="array" ref="E112">INDEX(Лист2!$C:$C,MATCH(1,(Лист2!$A:$A=A112)*(Лист2!$B:$B=B112),0))</f>
        <v>20</v>
      </c>
      <c r="F112" s="30" cm="1">
        <f t="array" ref="F112">INDEX(Лист2!$D:$D,MATCH(1,(Лист2!$A:$A=A112)*(Лист2!$B:$B=B112),0))</f>
        <v>2088</v>
      </c>
      <c r="G112" s="5" cm="1">
        <f t="array" ref="G112">INDEX(Лист2!$E:$E,MATCH(1,(Лист2!$A:$A=A112)*(Лист2!$B:$B=B112),0))</f>
        <v>1848</v>
      </c>
      <c r="H112" s="9">
        <f t="shared" si="2"/>
        <v>150210.67499999999</v>
      </c>
      <c r="I112">
        <f t="shared" si="3"/>
        <v>22</v>
      </c>
    </row>
    <row r="113" spans="1:9" ht="14.25" hidden="1" customHeight="1" x14ac:dyDescent="0.3">
      <c r="A113" s="19">
        <v>43967</v>
      </c>
      <c r="B113" s="20" t="s">
        <v>14</v>
      </c>
      <c r="C113" s="21">
        <v>321412.5</v>
      </c>
      <c r="D113" s="22">
        <v>32235864</v>
      </c>
      <c r="E113" s="5" cm="1">
        <f t="array" ref="E113">INDEX(Лист2!$C:$C,MATCH(1,(Лист2!$A:$A=A113)*(Лист2!$B:$B=B113),0))</f>
        <v>129</v>
      </c>
      <c r="F113" s="30" cm="1">
        <f t="array" ref="F113">INDEX(Лист2!$D:$D,MATCH(1,(Лист2!$A:$A=A113)*(Лист2!$B:$B=B113),0))</f>
        <v>17914</v>
      </c>
      <c r="G113" s="5" cm="1">
        <f t="array" ref="G113">INDEX(Лист2!$E:$E,MATCH(1,(Лист2!$A:$A=A113)*(Лист2!$B:$B=B113),0))</f>
        <v>16631</v>
      </c>
      <c r="H113" s="9">
        <f t="shared" si="2"/>
        <v>249890.41860465117</v>
      </c>
      <c r="I113">
        <f t="shared" si="3"/>
        <v>20</v>
      </c>
    </row>
    <row r="114" spans="1:9" ht="14.25" hidden="1" customHeight="1" x14ac:dyDescent="0.3">
      <c r="A114" s="15">
        <v>43970</v>
      </c>
      <c r="B114" s="16" t="s">
        <v>14</v>
      </c>
      <c r="C114" s="17">
        <v>276568.5</v>
      </c>
      <c r="D114" s="18">
        <v>27093624</v>
      </c>
      <c r="E114" s="5" cm="1">
        <f t="array" ref="E114">INDEX(Лист2!$C:$C,MATCH(1,(Лист2!$A:$A=A114)*(Лист2!$B:$B=B114),0))</f>
        <v>129</v>
      </c>
      <c r="F114" s="30" cm="1">
        <f t="array" ref="F114">INDEX(Лист2!$D:$D,MATCH(1,(Лист2!$A:$A=A114)*(Лист2!$B:$B=B114),0))</f>
        <v>16191</v>
      </c>
      <c r="G114" s="5" cm="1">
        <f t="array" ref="G114">INDEX(Лист2!$E:$E,MATCH(1,(Лист2!$A:$A=A114)*(Лист2!$B:$B=B114),0))</f>
        <v>15102</v>
      </c>
      <c r="H114" s="9">
        <f t="shared" si="2"/>
        <v>210028.09302325582</v>
      </c>
      <c r="I114">
        <f t="shared" si="3"/>
        <v>21</v>
      </c>
    </row>
    <row r="115" spans="1:9" ht="14.25" hidden="1" customHeight="1" x14ac:dyDescent="0.3">
      <c r="A115" s="19">
        <v>43968</v>
      </c>
      <c r="B115" s="20" t="s">
        <v>14</v>
      </c>
      <c r="C115" s="21">
        <v>269029.5</v>
      </c>
      <c r="D115" s="22">
        <v>26659930.5</v>
      </c>
      <c r="E115" s="5" cm="1">
        <f t="array" ref="E115">INDEX(Лист2!$C:$C,MATCH(1,(Лист2!$A:$A=A115)*(Лист2!$B:$B=B115),0))</f>
        <v>129</v>
      </c>
      <c r="F115" s="30" cm="1">
        <f t="array" ref="F115">INDEX(Лист2!$D:$D,MATCH(1,(Лист2!$A:$A=A115)*(Лист2!$B:$B=B115),0))</f>
        <v>15744</v>
      </c>
      <c r="G115" s="5" cm="1">
        <f t="array" ref="G115">INDEX(Лист2!$E:$E,MATCH(1,(Лист2!$A:$A=A115)*(Лист2!$B:$B=B115),0))</f>
        <v>14685</v>
      </c>
      <c r="H115" s="9">
        <f t="shared" si="2"/>
        <v>206666.12790697673</v>
      </c>
      <c r="I115">
        <f t="shared" si="3"/>
        <v>20</v>
      </c>
    </row>
    <row r="116" spans="1:9" ht="14.25" hidden="1" customHeight="1" x14ac:dyDescent="0.3">
      <c r="A116" s="15">
        <v>43960</v>
      </c>
      <c r="B116" s="16" t="s">
        <v>14</v>
      </c>
      <c r="C116" s="17">
        <v>285972</v>
      </c>
      <c r="D116" s="18">
        <v>29768199</v>
      </c>
      <c r="E116" s="5" cm="1">
        <f t="array" ref="E116">INDEX(Лист2!$C:$C,MATCH(1,(Лист2!$A:$A=A116)*(Лист2!$B:$B=B116),0))</f>
        <v>129</v>
      </c>
      <c r="F116" s="30" cm="1">
        <f t="array" ref="F116">INDEX(Лист2!$D:$D,MATCH(1,(Лист2!$A:$A=A116)*(Лист2!$B:$B=B116),0))</f>
        <v>16420</v>
      </c>
      <c r="G116" s="5" cm="1">
        <f t="array" ref="G116">INDEX(Лист2!$E:$E,MATCH(1,(Лист2!$A:$A=A116)*(Лист2!$B:$B=B116),0))</f>
        <v>15169</v>
      </c>
      <c r="H116" s="9">
        <f t="shared" si="2"/>
        <v>230761.23255813954</v>
      </c>
      <c r="I116">
        <f t="shared" si="3"/>
        <v>19</v>
      </c>
    </row>
    <row r="117" spans="1:9" ht="14.25" hidden="1" customHeight="1" x14ac:dyDescent="0.3">
      <c r="A117" s="19">
        <v>43955</v>
      </c>
      <c r="B117" s="20" t="s">
        <v>14</v>
      </c>
      <c r="C117" s="21">
        <v>283942.5</v>
      </c>
      <c r="D117" s="22">
        <v>29357940</v>
      </c>
      <c r="E117" s="5" cm="1">
        <f t="array" ref="E117">INDEX(Лист2!$C:$C,MATCH(1,(Лист2!$A:$A=A117)*(Лист2!$B:$B=B117),0))</f>
        <v>129</v>
      </c>
      <c r="F117" s="30" cm="1">
        <f t="array" ref="F117">INDEX(Лист2!$D:$D,MATCH(1,(Лист2!$A:$A=A117)*(Лист2!$B:$B=B117),0))</f>
        <v>16525</v>
      </c>
      <c r="G117" s="5" cm="1">
        <f t="array" ref="G117">INDEX(Лист2!$E:$E,MATCH(1,(Лист2!$A:$A=A117)*(Лист2!$B:$B=B117),0))</f>
        <v>15310</v>
      </c>
      <c r="H117" s="9">
        <f t="shared" si="2"/>
        <v>227580.93023255814</v>
      </c>
      <c r="I117">
        <f t="shared" si="3"/>
        <v>19</v>
      </c>
    </row>
    <row r="118" spans="1:9" ht="14.25" hidden="1" customHeight="1" x14ac:dyDescent="0.3">
      <c r="A118" s="15">
        <v>43950</v>
      </c>
      <c r="B118" s="16" t="s">
        <v>14</v>
      </c>
      <c r="C118" s="17">
        <v>298059</v>
      </c>
      <c r="D118" s="18">
        <v>30869287.5</v>
      </c>
      <c r="E118" s="5" cm="1">
        <f t="array" ref="E118">INDEX(Лист2!$C:$C,MATCH(1,(Лист2!$A:$A=A118)*(Лист2!$B:$B=B118),0))</f>
        <v>128</v>
      </c>
      <c r="F118" s="30" cm="1">
        <f t="array" ref="F118">INDEX(Лист2!$D:$D,MATCH(1,(Лист2!$A:$A=A118)*(Лист2!$B:$B=B118),0))</f>
        <v>17368</v>
      </c>
      <c r="G118" s="5" cm="1">
        <f t="array" ref="G118">INDEX(Лист2!$E:$E,MATCH(1,(Лист2!$A:$A=A118)*(Лист2!$B:$B=B118),0))</f>
        <v>16077</v>
      </c>
      <c r="H118" s="9">
        <f t="shared" si="2"/>
        <v>241166.30859375</v>
      </c>
      <c r="I118">
        <f t="shared" si="3"/>
        <v>18</v>
      </c>
    </row>
    <row r="119" spans="1:9" ht="14.25" hidden="1" customHeight="1" x14ac:dyDescent="0.3">
      <c r="A119" s="19">
        <v>43953</v>
      </c>
      <c r="B119" s="20" t="s">
        <v>14</v>
      </c>
      <c r="C119" s="21">
        <v>232903.5</v>
      </c>
      <c r="D119" s="22">
        <v>24342016.5</v>
      </c>
      <c r="E119" s="5" cm="1">
        <f t="array" ref="E119">INDEX(Лист2!$C:$C,MATCH(1,(Лист2!$A:$A=A119)*(Лист2!$B:$B=B119),0))</f>
        <v>129</v>
      </c>
      <c r="F119" s="30" cm="1">
        <f t="array" ref="F119">INDEX(Лист2!$D:$D,MATCH(1,(Лист2!$A:$A=A119)*(Лист2!$B:$B=B119),0))</f>
        <v>14009</v>
      </c>
      <c r="G119" s="5" cm="1">
        <f t="array" ref="G119">INDEX(Лист2!$E:$E,MATCH(1,(Лист2!$A:$A=A119)*(Лист2!$B:$B=B119),0))</f>
        <v>12920</v>
      </c>
      <c r="H119" s="9">
        <f t="shared" si="2"/>
        <v>188697.8023255814</v>
      </c>
      <c r="I119">
        <f t="shared" si="3"/>
        <v>18</v>
      </c>
    </row>
    <row r="120" spans="1:9" ht="14.25" hidden="1" customHeight="1" x14ac:dyDescent="0.3">
      <c r="A120" s="15">
        <v>43977</v>
      </c>
      <c r="B120" s="16" t="s">
        <v>14</v>
      </c>
      <c r="C120" s="17">
        <v>276966</v>
      </c>
      <c r="D120" s="18">
        <v>27872617.898850001</v>
      </c>
      <c r="E120" s="5" cm="1">
        <f t="array" ref="E120">INDEX(Лист2!$C:$C,MATCH(1,(Лист2!$A:$A=A120)*(Лист2!$B:$B=B120),0))</f>
        <v>129</v>
      </c>
      <c r="F120" s="30" cm="1">
        <f t="array" ref="F120">INDEX(Лист2!$D:$D,MATCH(1,(Лист2!$A:$A=A120)*(Лист2!$B:$B=B120),0))</f>
        <v>16459</v>
      </c>
      <c r="G120" s="5" cm="1">
        <f t="array" ref="G120">INDEX(Лист2!$E:$E,MATCH(1,(Лист2!$A:$A=A120)*(Лист2!$B:$B=B120),0))</f>
        <v>15355</v>
      </c>
      <c r="H120" s="9">
        <f t="shared" si="2"/>
        <v>216066.80541744188</v>
      </c>
      <c r="I120">
        <f t="shared" si="3"/>
        <v>22</v>
      </c>
    </row>
    <row r="121" spans="1:9" ht="14.25" hidden="1" customHeight="1" x14ac:dyDescent="0.3">
      <c r="A121" s="19">
        <v>43952</v>
      </c>
      <c r="B121" s="20" t="s">
        <v>14</v>
      </c>
      <c r="C121" s="21">
        <v>296149.5</v>
      </c>
      <c r="D121" s="22">
        <v>31053316.5</v>
      </c>
      <c r="E121" s="5" cm="1">
        <f t="array" ref="E121">INDEX(Лист2!$C:$C,MATCH(1,(Лист2!$A:$A=A121)*(Лист2!$B:$B=B121),0))</f>
        <v>129</v>
      </c>
      <c r="F121" s="30" cm="1">
        <f t="array" ref="F121">INDEX(Лист2!$D:$D,MATCH(1,(Лист2!$A:$A=A121)*(Лист2!$B:$B=B121),0))</f>
        <v>17002</v>
      </c>
      <c r="G121" s="5" cm="1">
        <f t="array" ref="G121">INDEX(Лист2!$E:$E,MATCH(1,(Лист2!$A:$A=A121)*(Лист2!$B:$B=B121),0))</f>
        <v>15570</v>
      </c>
      <c r="H121" s="9">
        <f t="shared" si="2"/>
        <v>240723.38372093023</v>
      </c>
      <c r="I121">
        <f t="shared" si="3"/>
        <v>18</v>
      </c>
    </row>
    <row r="122" spans="1:9" ht="14.25" hidden="1" customHeight="1" x14ac:dyDescent="0.3">
      <c r="A122" s="15">
        <v>43963</v>
      </c>
      <c r="B122" s="16" t="s">
        <v>14</v>
      </c>
      <c r="C122" s="17">
        <v>281796</v>
      </c>
      <c r="D122" s="18">
        <v>29042520</v>
      </c>
      <c r="E122" s="5" cm="1">
        <f t="array" ref="E122">INDEX(Лист2!$C:$C,MATCH(1,(Лист2!$A:$A=A122)*(Лист2!$B:$B=B122),0))</f>
        <v>129</v>
      </c>
      <c r="F122" s="30" cm="1">
        <f t="array" ref="F122">INDEX(Лист2!$D:$D,MATCH(1,(Лист2!$A:$A=A122)*(Лист2!$B:$B=B122),0))</f>
        <v>16387</v>
      </c>
      <c r="G122" s="5" cm="1">
        <f t="array" ref="G122">INDEX(Лист2!$E:$E,MATCH(1,(Лист2!$A:$A=A122)*(Лист2!$B:$B=B122),0))</f>
        <v>15322</v>
      </c>
      <c r="H122" s="9">
        <f t="shared" si="2"/>
        <v>225135.81395348837</v>
      </c>
      <c r="I122">
        <f t="shared" si="3"/>
        <v>20</v>
      </c>
    </row>
    <row r="123" spans="1:9" ht="14.25" hidden="1" customHeight="1" x14ac:dyDescent="0.3">
      <c r="A123" s="19">
        <v>43972</v>
      </c>
      <c r="B123" s="20" t="s">
        <v>14</v>
      </c>
      <c r="C123" s="21">
        <v>288936</v>
      </c>
      <c r="D123" s="22">
        <v>27852900</v>
      </c>
      <c r="E123" s="5" cm="1">
        <f t="array" ref="E123">INDEX(Лист2!$C:$C,MATCH(1,(Лист2!$A:$A=A123)*(Лист2!$B:$B=B123),0))</f>
        <v>129</v>
      </c>
      <c r="F123" s="30" cm="1">
        <f t="array" ref="F123">INDEX(Лист2!$D:$D,MATCH(1,(Лист2!$A:$A=A123)*(Лист2!$B:$B=B123),0))</f>
        <v>16373</v>
      </c>
      <c r="G123" s="5" cm="1">
        <f t="array" ref="G123">INDEX(Лист2!$E:$E,MATCH(1,(Лист2!$A:$A=A123)*(Лист2!$B:$B=B123),0))</f>
        <v>15223</v>
      </c>
      <c r="H123" s="9">
        <f t="shared" si="2"/>
        <v>215913.95348837209</v>
      </c>
      <c r="I123">
        <f t="shared" si="3"/>
        <v>21</v>
      </c>
    </row>
    <row r="124" spans="1:9" ht="14.25" hidden="1" customHeight="1" x14ac:dyDescent="0.3">
      <c r="A124" s="15">
        <v>43971</v>
      </c>
      <c r="B124" s="16" t="s">
        <v>14</v>
      </c>
      <c r="C124" s="17">
        <v>300151.5</v>
      </c>
      <c r="D124" s="18">
        <v>29368771.617449999</v>
      </c>
      <c r="E124" s="5" cm="1">
        <f t="array" ref="E124">INDEX(Лист2!$C:$C,MATCH(1,(Лист2!$A:$A=A124)*(Лист2!$B:$B=B124),0))</f>
        <v>129</v>
      </c>
      <c r="F124" s="30" cm="1">
        <f t="array" ref="F124">INDEX(Лист2!$D:$D,MATCH(1,(Лист2!$A:$A=A124)*(Лист2!$B:$B=B124),0))</f>
        <v>17095</v>
      </c>
      <c r="G124" s="5" cm="1">
        <f t="array" ref="G124">INDEX(Лист2!$E:$E,MATCH(1,(Лист2!$A:$A=A124)*(Лист2!$B:$B=B124),0))</f>
        <v>15919</v>
      </c>
      <c r="H124" s="9">
        <f t="shared" si="2"/>
        <v>227664.8962593023</v>
      </c>
      <c r="I124">
        <f t="shared" si="3"/>
        <v>21</v>
      </c>
    </row>
    <row r="125" spans="1:9" ht="14.25" hidden="1" customHeight="1" x14ac:dyDescent="0.3">
      <c r="A125" s="19">
        <v>43956</v>
      </c>
      <c r="B125" s="20" t="s">
        <v>14</v>
      </c>
      <c r="C125" s="21">
        <v>262734</v>
      </c>
      <c r="D125" s="22">
        <v>27278441.145</v>
      </c>
      <c r="E125" s="5" cm="1">
        <f t="array" ref="E125">INDEX(Лист2!$C:$C,MATCH(1,(Лист2!$A:$A=A125)*(Лист2!$B:$B=B125),0))</f>
        <v>129</v>
      </c>
      <c r="F125" s="30" cm="1">
        <f t="array" ref="F125">INDEX(Лист2!$D:$D,MATCH(1,(Лист2!$A:$A=A125)*(Лист2!$B:$B=B125),0))</f>
        <v>15665</v>
      </c>
      <c r="G125" s="5" cm="1">
        <f t="array" ref="G125">INDEX(Лист2!$E:$E,MATCH(1,(Лист2!$A:$A=A125)*(Лист2!$B:$B=B125),0))</f>
        <v>14501</v>
      </c>
      <c r="H125" s="9">
        <f t="shared" si="2"/>
        <v>211460.78406976743</v>
      </c>
      <c r="I125">
        <f t="shared" si="3"/>
        <v>19</v>
      </c>
    </row>
    <row r="126" spans="1:9" ht="14.25" hidden="1" customHeight="1" x14ac:dyDescent="0.3">
      <c r="A126" s="15">
        <v>43949</v>
      </c>
      <c r="B126" s="16" t="s">
        <v>14</v>
      </c>
      <c r="C126" s="17">
        <v>286002</v>
      </c>
      <c r="D126" s="18">
        <v>29159032.5</v>
      </c>
      <c r="E126" s="5" cm="1">
        <f t="array" ref="E126">INDEX(Лист2!$C:$C,MATCH(1,(Лист2!$A:$A=A126)*(Лист2!$B:$B=B126),0))</f>
        <v>128</v>
      </c>
      <c r="F126" s="30" cm="1">
        <f t="array" ref="F126">INDEX(Лист2!$D:$D,MATCH(1,(Лист2!$A:$A=A126)*(Лист2!$B:$B=B126),0))</f>
        <v>16450</v>
      </c>
      <c r="G126" s="5" cm="1">
        <f t="array" ref="G126">INDEX(Лист2!$E:$E,MATCH(1,(Лист2!$A:$A=A126)*(Лист2!$B:$B=B126),0))</f>
        <v>15320</v>
      </c>
      <c r="H126" s="9">
        <f t="shared" si="2"/>
        <v>227804.94140625</v>
      </c>
      <c r="I126">
        <f t="shared" si="3"/>
        <v>18</v>
      </c>
    </row>
    <row r="127" spans="1:9" ht="14.25" hidden="1" customHeight="1" x14ac:dyDescent="0.3">
      <c r="A127" s="19">
        <v>43964</v>
      </c>
      <c r="B127" s="20" t="s">
        <v>14</v>
      </c>
      <c r="C127" s="21">
        <v>258459</v>
      </c>
      <c r="D127" s="22">
        <v>26467453.5</v>
      </c>
      <c r="E127" s="5" cm="1">
        <f t="array" ref="E127">INDEX(Лист2!$C:$C,MATCH(1,(Лист2!$A:$A=A127)*(Лист2!$B:$B=B127),0))</f>
        <v>129</v>
      </c>
      <c r="F127" s="30" cm="1">
        <f t="array" ref="F127">INDEX(Лист2!$D:$D,MATCH(1,(Лист2!$A:$A=A127)*(Лист2!$B:$B=B127),0))</f>
        <v>15304</v>
      </c>
      <c r="G127" s="5" cm="1">
        <f t="array" ref="G127">INDEX(Лист2!$E:$E,MATCH(1,(Лист2!$A:$A=A127)*(Лист2!$B:$B=B127),0))</f>
        <v>14315</v>
      </c>
      <c r="H127" s="9">
        <f t="shared" si="2"/>
        <v>205174.05813953487</v>
      </c>
      <c r="I127">
        <f t="shared" si="3"/>
        <v>20</v>
      </c>
    </row>
    <row r="128" spans="1:9" ht="14.25" hidden="1" customHeight="1" x14ac:dyDescent="0.3">
      <c r="A128" s="15">
        <v>43954</v>
      </c>
      <c r="B128" s="16" t="s">
        <v>14</v>
      </c>
      <c r="C128" s="17">
        <v>274083</v>
      </c>
      <c r="D128" s="18">
        <v>28427001</v>
      </c>
      <c r="E128" s="5" cm="1">
        <f t="array" ref="E128">INDEX(Лист2!$C:$C,MATCH(1,(Лист2!$A:$A=A128)*(Лист2!$B:$B=B128),0))</f>
        <v>129</v>
      </c>
      <c r="F128" s="30" cm="1">
        <f t="array" ref="F128">INDEX(Лист2!$D:$D,MATCH(1,(Лист2!$A:$A=A128)*(Лист2!$B:$B=B128),0))</f>
        <v>15778</v>
      </c>
      <c r="G128" s="5" cm="1">
        <f t="array" ref="G128">INDEX(Лист2!$E:$E,MATCH(1,(Лист2!$A:$A=A128)*(Лист2!$B:$B=B128),0))</f>
        <v>14624</v>
      </c>
      <c r="H128" s="9">
        <f t="shared" si="2"/>
        <v>220364.34883720931</v>
      </c>
      <c r="I128">
        <f t="shared" si="3"/>
        <v>18</v>
      </c>
    </row>
    <row r="129" spans="1:9" ht="14.25" hidden="1" customHeight="1" x14ac:dyDescent="0.3">
      <c r="A129" s="19">
        <v>43957</v>
      </c>
      <c r="B129" s="20" t="s">
        <v>14</v>
      </c>
      <c r="C129" s="21">
        <v>277512</v>
      </c>
      <c r="D129" s="22">
        <v>28770810.105599999</v>
      </c>
      <c r="E129" s="5" cm="1">
        <f t="array" ref="E129">INDEX(Лист2!$C:$C,MATCH(1,(Лист2!$A:$A=A129)*(Лист2!$B:$B=B129),0))</f>
        <v>129</v>
      </c>
      <c r="F129" s="30" cm="1">
        <f t="array" ref="F129">INDEX(Лист2!$D:$D,MATCH(1,(Лист2!$A:$A=A129)*(Лист2!$B:$B=B129),0))</f>
        <v>16376</v>
      </c>
      <c r="G129" s="5" cm="1">
        <f t="array" ref="G129">INDEX(Лист2!$E:$E,MATCH(1,(Лист2!$A:$A=A129)*(Лист2!$B:$B=B129),0))</f>
        <v>15197</v>
      </c>
      <c r="H129" s="9">
        <f t="shared" si="2"/>
        <v>223029.53570232558</v>
      </c>
      <c r="I129">
        <f t="shared" si="3"/>
        <v>19</v>
      </c>
    </row>
    <row r="130" spans="1:9" ht="14.25" hidden="1" customHeight="1" x14ac:dyDescent="0.3">
      <c r="A130" s="15">
        <v>43974</v>
      </c>
      <c r="B130" s="16" t="s">
        <v>14</v>
      </c>
      <c r="C130" s="17">
        <v>356982</v>
      </c>
      <c r="D130" s="18">
        <v>35103926.711549997</v>
      </c>
      <c r="E130" s="5" cm="1">
        <f t="array" ref="E130">INDEX(Лист2!$C:$C,MATCH(1,(Лист2!$A:$A=A130)*(Лист2!$B:$B=B130),0))</f>
        <v>129</v>
      </c>
      <c r="F130" s="30" cm="1">
        <f t="array" ref="F130">INDEX(Лист2!$D:$D,MATCH(1,(Лист2!$A:$A=A130)*(Лист2!$B:$B=B130),0))</f>
        <v>19856</v>
      </c>
      <c r="G130" s="5" cm="1">
        <f t="array" ref="G130">INDEX(Лист2!$E:$E,MATCH(1,(Лист2!$A:$A=A130)*(Лист2!$B:$B=B130),0))</f>
        <v>18325</v>
      </c>
      <c r="H130" s="9">
        <f t="shared" si="2"/>
        <v>272123.46288023255</v>
      </c>
      <c r="I130">
        <f t="shared" si="3"/>
        <v>21</v>
      </c>
    </row>
    <row r="131" spans="1:9" ht="14.25" hidden="1" customHeight="1" x14ac:dyDescent="0.3">
      <c r="A131" s="19">
        <v>43976</v>
      </c>
      <c r="B131" s="20" t="s">
        <v>14</v>
      </c>
      <c r="C131" s="21">
        <v>266983.5</v>
      </c>
      <c r="D131" s="22">
        <v>27165913.5</v>
      </c>
      <c r="E131" s="5" cm="1">
        <f t="array" ref="E131">INDEX(Лист2!$C:$C,MATCH(1,(Лист2!$A:$A=A131)*(Лист2!$B:$B=B131),0))</f>
        <v>129</v>
      </c>
      <c r="F131" s="30" cm="1">
        <f t="array" ref="F131">INDEX(Лист2!$D:$D,MATCH(1,(Лист2!$A:$A=A131)*(Лист2!$B:$B=B131),0))</f>
        <v>15822</v>
      </c>
      <c r="G131" s="5" cm="1">
        <f t="array" ref="G131">INDEX(Лист2!$E:$E,MATCH(1,(Лист2!$A:$A=A131)*(Лист2!$B:$B=B131),0))</f>
        <v>14753</v>
      </c>
      <c r="H131" s="9">
        <f t="shared" ref="H131:H194" si="4">D131/E131</f>
        <v>210588.47674418605</v>
      </c>
      <c r="I131">
        <f t="shared" ref="I131:I194" si="5">WEEKNUM(A131,2)</f>
        <v>22</v>
      </c>
    </row>
    <row r="132" spans="1:9" ht="14.25" hidden="1" customHeight="1" x14ac:dyDescent="0.3">
      <c r="A132" s="15">
        <v>43951</v>
      </c>
      <c r="B132" s="16" t="s">
        <v>14</v>
      </c>
      <c r="C132" s="17">
        <v>311131.5</v>
      </c>
      <c r="D132" s="18">
        <v>32418879</v>
      </c>
      <c r="E132" s="5" cm="1">
        <f t="array" ref="E132">INDEX(Лист2!$C:$C,MATCH(1,(Лист2!$A:$A=A132)*(Лист2!$B:$B=B132),0))</f>
        <v>129</v>
      </c>
      <c r="F132" s="30" cm="1">
        <f t="array" ref="F132">INDEX(Лист2!$D:$D,MATCH(1,(Лист2!$A:$A=A132)*(Лист2!$B:$B=B132),0))</f>
        <v>18042</v>
      </c>
      <c r="G132" s="5" cm="1">
        <f t="array" ref="G132">INDEX(Лист2!$E:$E,MATCH(1,(Лист2!$A:$A=A132)*(Лист2!$B:$B=B132),0))</f>
        <v>16631</v>
      </c>
      <c r="H132" s="9">
        <f t="shared" si="4"/>
        <v>251309.13953488372</v>
      </c>
      <c r="I132">
        <f t="shared" si="5"/>
        <v>18</v>
      </c>
    </row>
    <row r="133" spans="1:9" ht="14.25" hidden="1" customHeight="1" x14ac:dyDescent="0.3">
      <c r="A133" s="19">
        <v>43961</v>
      </c>
      <c r="B133" s="20" t="s">
        <v>14</v>
      </c>
      <c r="C133" s="21">
        <v>287206.5</v>
      </c>
      <c r="D133" s="22">
        <v>29536176.10605</v>
      </c>
      <c r="E133" s="5" cm="1">
        <f t="array" ref="E133">INDEX(Лист2!$C:$C,MATCH(1,(Лист2!$A:$A=A133)*(Лист2!$B:$B=B133),0))</f>
        <v>129</v>
      </c>
      <c r="F133" s="30" cm="1">
        <f t="array" ref="F133">INDEX(Лист2!$D:$D,MATCH(1,(Лист2!$A:$A=A133)*(Лист2!$B:$B=B133),0))</f>
        <v>16437</v>
      </c>
      <c r="G133" s="5" cm="1">
        <f t="array" ref="G133">INDEX(Лист2!$E:$E,MATCH(1,(Лист2!$A:$A=A133)*(Лист2!$B:$B=B133),0))</f>
        <v>15285</v>
      </c>
      <c r="H133" s="9">
        <f t="shared" si="4"/>
        <v>228962.6054732558</v>
      </c>
      <c r="I133">
        <f t="shared" si="5"/>
        <v>19</v>
      </c>
    </row>
    <row r="134" spans="1:9" ht="14.25" hidden="1" customHeight="1" x14ac:dyDescent="0.3">
      <c r="A134" s="15">
        <v>43959</v>
      </c>
      <c r="B134" s="16" t="s">
        <v>14</v>
      </c>
      <c r="C134" s="17">
        <v>370092</v>
      </c>
      <c r="D134" s="18">
        <v>38091556.5</v>
      </c>
      <c r="E134" s="5" cm="1">
        <f t="array" ref="E134">INDEX(Лист2!$C:$C,MATCH(1,(Лист2!$A:$A=A134)*(Лист2!$B:$B=B134),0))</f>
        <v>129</v>
      </c>
      <c r="F134" s="30" cm="1">
        <f t="array" ref="F134">INDEX(Лист2!$D:$D,MATCH(1,(Лист2!$A:$A=A134)*(Лист2!$B:$B=B134),0))</f>
        <v>20452</v>
      </c>
      <c r="G134" s="5" cm="1">
        <f t="array" ref="G134">INDEX(Лист2!$E:$E,MATCH(1,(Лист2!$A:$A=A134)*(Лист2!$B:$B=B134),0))</f>
        <v>18857</v>
      </c>
      <c r="H134" s="9">
        <f t="shared" si="4"/>
        <v>295283.38372093026</v>
      </c>
      <c r="I134">
        <f t="shared" si="5"/>
        <v>19</v>
      </c>
    </row>
    <row r="135" spans="1:9" ht="14.25" hidden="1" customHeight="1" x14ac:dyDescent="0.3">
      <c r="A135" s="19">
        <v>43958</v>
      </c>
      <c r="B135" s="20" t="s">
        <v>14</v>
      </c>
      <c r="C135" s="21">
        <v>247813.5</v>
      </c>
      <c r="D135" s="22">
        <v>25325271</v>
      </c>
      <c r="E135" s="5" cm="1">
        <f t="array" ref="E135">INDEX(Лист2!$C:$C,MATCH(1,(Лист2!$A:$A=A135)*(Лист2!$B:$B=B135),0))</f>
        <v>129</v>
      </c>
      <c r="F135" s="30" cm="1">
        <f t="array" ref="F135">INDEX(Лист2!$D:$D,MATCH(1,(Лист2!$A:$A=A135)*(Лист2!$B:$B=B135),0))</f>
        <v>14582</v>
      </c>
      <c r="G135" s="5" cm="1">
        <f t="array" ref="G135">INDEX(Лист2!$E:$E,MATCH(1,(Лист2!$A:$A=A135)*(Лист2!$B:$B=B135),0))</f>
        <v>13512</v>
      </c>
      <c r="H135" s="9">
        <f t="shared" si="4"/>
        <v>196319.93023255814</v>
      </c>
      <c r="I135">
        <f t="shared" si="5"/>
        <v>19</v>
      </c>
    </row>
    <row r="136" spans="1:9" ht="14.25" hidden="1" customHeight="1" x14ac:dyDescent="0.3">
      <c r="A136" s="15">
        <v>43975</v>
      </c>
      <c r="B136" s="16" t="s">
        <v>14</v>
      </c>
      <c r="C136" s="17">
        <v>287740.5</v>
      </c>
      <c r="D136" s="18">
        <v>28188534</v>
      </c>
      <c r="E136" s="5" cm="1">
        <f t="array" ref="E136">INDEX(Лист2!$C:$C,MATCH(1,(Лист2!$A:$A=A136)*(Лист2!$B:$B=B136),0))</f>
        <v>129</v>
      </c>
      <c r="F136" s="30" cm="1">
        <f t="array" ref="F136">INDEX(Лист2!$D:$D,MATCH(1,(Лист2!$A:$A=A136)*(Лист2!$B:$B=B136),0))</f>
        <v>16432</v>
      </c>
      <c r="G136" s="5" cm="1">
        <f t="array" ref="G136">INDEX(Лист2!$E:$E,MATCH(1,(Лист2!$A:$A=A136)*(Лист2!$B:$B=B136),0))</f>
        <v>15345</v>
      </c>
      <c r="H136" s="9">
        <f t="shared" si="4"/>
        <v>218515.76744186046</v>
      </c>
      <c r="I136">
        <f t="shared" si="5"/>
        <v>21</v>
      </c>
    </row>
    <row r="137" spans="1:9" ht="14.25" customHeight="1" x14ac:dyDescent="0.3">
      <c r="A137" s="19">
        <v>43967</v>
      </c>
      <c r="B137" s="20" t="s">
        <v>15</v>
      </c>
      <c r="C137" s="21">
        <v>408810</v>
      </c>
      <c r="D137" s="22">
        <v>42323631</v>
      </c>
      <c r="E137" s="5" cm="1">
        <f t="array" ref="E137">INDEX(Лист2!$C:$C,MATCH(1,(Лист2!$A:$A=A137)*(Лист2!$B:$B=B137),0))</f>
        <v>125</v>
      </c>
      <c r="F137" s="30" cm="1">
        <f t="array" ref="F137">INDEX(Лист2!$D:$D,MATCH(1,(Лист2!$A:$A=A137)*(Лист2!$B:$B=B137),0))</f>
        <v>22291</v>
      </c>
      <c r="G137" s="5" cm="1">
        <f t="array" ref="G137">INDEX(Лист2!$E:$E,MATCH(1,(Лист2!$A:$A=A137)*(Лист2!$B:$B=B137),0))</f>
        <v>20635</v>
      </c>
      <c r="H137" s="9">
        <f t="shared" si="4"/>
        <v>338589.04800000001</v>
      </c>
      <c r="I137">
        <f t="shared" si="5"/>
        <v>20</v>
      </c>
    </row>
    <row r="138" spans="1:9" ht="14.25" customHeight="1" x14ac:dyDescent="0.3">
      <c r="A138" s="15">
        <v>43970</v>
      </c>
      <c r="B138" s="16" t="s">
        <v>15</v>
      </c>
      <c r="C138" s="17">
        <v>362536.5</v>
      </c>
      <c r="D138" s="18">
        <v>37023243</v>
      </c>
      <c r="E138" s="5" cm="1">
        <f t="array" ref="E138">INDEX(Лист2!$C:$C,MATCH(1,(Лист2!$A:$A=A138)*(Лист2!$B:$B=B138),0))</f>
        <v>125</v>
      </c>
      <c r="F138" s="30" cm="1">
        <f t="array" ref="F138">INDEX(Лист2!$D:$D,MATCH(1,(Лист2!$A:$A=A138)*(Лист2!$B:$B=B138),0))</f>
        <v>20771</v>
      </c>
      <c r="G138" s="5" cm="1">
        <f t="array" ref="G138">INDEX(Лист2!$E:$E,MATCH(1,(Лист2!$A:$A=A138)*(Лист2!$B:$B=B138),0))</f>
        <v>19338</v>
      </c>
      <c r="H138" s="9">
        <f t="shared" si="4"/>
        <v>296185.94400000002</v>
      </c>
      <c r="I138">
        <f t="shared" si="5"/>
        <v>21</v>
      </c>
    </row>
    <row r="139" spans="1:9" ht="14.25" customHeight="1" x14ac:dyDescent="0.3">
      <c r="A139" s="19">
        <v>43968</v>
      </c>
      <c r="B139" s="20" t="s">
        <v>15</v>
      </c>
      <c r="C139" s="21">
        <v>357072</v>
      </c>
      <c r="D139" s="22">
        <v>36834567</v>
      </c>
      <c r="E139" s="5" cm="1">
        <f t="array" ref="E139">INDEX(Лист2!$C:$C,MATCH(1,(Лист2!$A:$A=A139)*(Лист2!$B:$B=B139),0))</f>
        <v>125</v>
      </c>
      <c r="F139" s="30" cm="1">
        <f t="array" ref="F139">INDEX(Лист2!$D:$D,MATCH(1,(Лист2!$A:$A=A139)*(Лист2!$B:$B=B139),0))</f>
        <v>20079</v>
      </c>
      <c r="G139" s="5" cm="1">
        <f t="array" ref="G139">INDEX(Лист2!$E:$E,MATCH(1,(Лист2!$A:$A=A139)*(Лист2!$B:$B=B139),0))</f>
        <v>18721</v>
      </c>
      <c r="H139" s="9">
        <f t="shared" si="4"/>
        <v>294676.53600000002</v>
      </c>
      <c r="I139">
        <f t="shared" si="5"/>
        <v>20</v>
      </c>
    </row>
    <row r="140" spans="1:9" ht="14.25" customHeight="1" x14ac:dyDescent="0.3">
      <c r="A140" s="15">
        <v>43960</v>
      </c>
      <c r="B140" s="16" t="s">
        <v>15</v>
      </c>
      <c r="C140" s="17">
        <v>359214</v>
      </c>
      <c r="D140" s="18">
        <v>38693427</v>
      </c>
      <c r="E140" s="5" cm="1">
        <f t="array" ref="E140">INDEX(Лист2!$C:$C,MATCH(1,(Лист2!$A:$A=A140)*(Лист2!$B:$B=B140),0))</f>
        <v>125</v>
      </c>
      <c r="F140" s="30" cm="1">
        <f t="array" ref="F140">INDEX(Лист2!$D:$D,MATCH(1,(Лист2!$A:$A=A140)*(Лист2!$B:$B=B140),0))</f>
        <v>20132</v>
      </c>
      <c r="G140" s="5" cm="1">
        <f t="array" ref="G140">INDEX(Лист2!$E:$E,MATCH(1,(Лист2!$A:$A=A140)*(Лист2!$B:$B=B140),0))</f>
        <v>18617</v>
      </c>
      <c r="H140" s="9">
        <f t="shared" si="4"/>
        <v>309547.41600000003</v>
      </c>
      <c r="I140">
        <f t="shared" si="5"/>
        <v>19</v>
      </c>
    </row>
    <row r="141" spans="1:9" ht="14.25" customHeight="1" x14ac:dyDescent="0.3">
      <c r="A141" s="19">
        <v>43955</v>
      </c>
      <c r="B141" s="20" t="s">
        <v>15</v>
      </c>
      <c r="C141" s="21">
        <v>360255</v>
      </c>
      <c r="D141" s="22">
        <v>38406954</v>
      </c>
      <c r="E141" s="5" cm="1">
        <f t="array" ref="E141">INDEX(Лист2!$C:$C,MATCH(1,(Лист2!$A:$A=A141)*(Лист2!$B:$B=B141),0))</f>
        <v>125</v>
      </c>
      <c r="F141" s="30" cm="1">
        <f t="array" ref="F141">INDEX(Лист2!$D:$D,MATCH(1,(Лист2!$A:$A=A141)*(Лист2!$B:$B=B141),0))</f>
        <v>20495</v>
      </c>
      <c r="G141" s="5" cm="1">
        <f t="array" ref="G141">INDEX(Лист2!$E:$E,MATCH(1,(Лист2!$A:$A=A141)*(Лист2!$B:$B=B141),0))</f>
        <v>18964</v>
      </c>
      <c r="H141" s="9">
        <f t="shared" si="4"/>
        <v>307255.63199999998</v>
      </c>
      <c r="I141">
        <f t="shared" si="5"/>
        <v>19</v>
      </c>
    </row>
    <row r="142" spans="1:9" ht="14.25" customHeight="1" x14ac:dyDescent="0.3">
      <c r="A142" s="15">
        <v>43950</v>
      </c>
      <c r="B142" s="16" t="s">
        <v>15</v>
      </c>
      <c r="C142" s="17">
        <v>387220.5</v>
      </c>
      <c r="D142" s="18">
        <v>41559384</v>
      </c>
      <c r="E142" s="5" cm="1">
        <f t="array" ref="E142">INDEX(Лист2!$C:$C,MATCH(1,(Лист2!$A:$A=A142)*(Лист2!$B:$B=B142),0))</f>
        <v>125</v>
      </c>
      <c r="F142" s="30" cm="1">
        <f t="array" ref="F142">INDEX(Лист2!$D:$D,MATCH(1,(Лист2!$A:$A=A142)*(Лист2!$B:$B=B142),0))</f>
        <v>21863</v>
      </c>
      <c r="G142" s="5" cm="1">
        <f t="array" ref="G142">INDEX(Лист2!$E:$E,MATCH(1,(Лист2!$A:$A=A142)*(Лист2!$B:$B=B142),0))</f>
        <v>20160</v>
      </c>
      <c r="H142" s="9">
        <f t="shared" si="4"/>
        <v>332475.07199999999</v>
      </c>
      <c r="I142">
        <f t="shared" si="5"/>
        <v>18</v>
      </c>
    </row>
    <row r="143" spans="1:9" ht="14.25" customHeight="1" x14ac:dyDescent="0.3">
      <c r="A143" s="19">
        <v>43953</v>
      </c>
      <c r="B143" s="20" t="s">
        <v>15</v>
      </c>
      <c r="C143" s="21">
        <v>296580</v>
      </c>
      <c r="D143" s="22">
        <v>31843737</v>
      </c>
      <c r="E143" s="5" cm="1">
        <f t="array" ref="E143">INDEX(Лист2!$C:$C,MATCH(1,(Лист2!$A:$A=A143)*(Лист2!$B:$B=B143),0))</f>
        <v>125</v>
      </c>
      <c r="F143" s="30" cm="1">
        <f t="array" ref="F143">INDEX(Лист2!$D:$D,MATCH(1,(Лист2!$A:$A=A143)*(Лист2!$B:$B=B143),0))</f>
        <v>16932</v>
      </c>
      <c r="G143" s="5" cm="1">
        <f t="array" ref="G143">INDEX(Лист2!$E:$E,MATCH(1,(Лист2!$A:$A=A143)*(Лист2!$B:$B=B143),0))</f>
        <v>15601</v>
      </c>
      <c r="H143" s="9">
        <f t="shared" si="4"/>
        <v>254749.89600000001</v>
      </c>
      <c r="I143">
        <f t="shared" si="5"/>
        <v>18</v>
      </c>
    </row>
    <row r="144" spans="1:9" ht="14.25" customHeight="1" x14ac:dyDescent="0.3">
      <c r="A144" s="15">
        <v>43977</v>
      </c>
      <c r="B144" s="16" t="s">
        <v>15</v>
      </c>
      <c r="C144" s="17">
        <v>369861</v>
      </c>
      <c r="D144" s="18">
        <v>38365960.5</v>
      </c>
      <c r="E144" s="5" cm="1">
        <f t="array" ref="E144">INDEX(Лист2!$C:$C,MATCH(1,(Лист2!$A:$A=A144)*(Лист2!$B:$B=B144),0))</f>
        <v>124</v>
      </c>
      <c r="F144" s="30" cm="1">
        <f t="array" ref="F144">INDEX(Лист2!$D:$D,MATCH(1,(Лист2!$A:$A=A144)*(Лист2!$B:$B=B144),0))</f>
        <v>21153</v>
      </c>
      <c r="G144" s="5" cm="1">
        <f t="array" ref="G144">INDEX(Лист2!$E:$E,MATCH(1,(Лист2!$A:$A=A144)*(Лист2!$B:$B=B144),0))</f>
        <v>19673</v>
      </c>
      <c r="H144" s="9">
        <f t="shared" si="4"/>
        <v>309402.90725806454</v>
      </c>
      <c r="I144">
        <f t="shared" si="5"/>
        <v>22</v>
      </c>
    </row>
    <row r="145" spans="1:9" ht="14.25" customHeight="1" x14ac:dyDescent="0.3">
      <c r="A145" s="19">
        <v>43952</v>
      </c>
      <c r="B145" s="20" t="s">
        <v>15</v>
      </c>
      <c r="C145" s="21">
        <v>372504</v>
      </c>
      <c r="D145" s="22">
        <v>40077193.5</v>
      </c>
      <c r="E145" s="5" cm="1">
        <f t="array" ref="E145">INDEX(Лист2!$C:$C,MATCH(1,(Лист2!$A:$A=A145)*(Лист2!$B:$B=B145),0))</f>
        <v>125</v>
      </c>
      <c r="F145" s="30" cm="1">
        <f t="array" ref="F145">INDEX(Лист2!$D:$D,MATCH(1,(Лист2!$A:$A=A145)*(Лист2!$B:$B=B145),0))</f>
        <v>20602</v>
      </c>
      <c r="G145" s="5" cm="1">
        <f t="array" ref="G145">INDEX(Лист2!$E:$E,MATCH(1,(Лист2!$A:$A=A145)*(Лист2!$B:$B=B145),0))</f>
        <v>18845</v>
      </c>
      <c r="H145" s="9">
        <f t="shared" si="4"/>
        <v>320617.54800000001</v>
      </c>
      <c r="I145">
        <f t="shared" si="5"/>
        <v>18</v>
      </c>
    </row>
    <row r="146" spans="1:9" ht="14.25" customHeight="1" x14ac:dyDescent="0.3">
      <c r="A146" s="15">
        <v>43963</v>
      </c>
      <c r="B146" s="16" t="s">
        <v>15</v>
      </c>
      <c r="C146" s="17">
        <v>373392</v>
      </c>
      <c r="D146" s="18">
        <v>39578577</v>
      </c>
      <c r="E146" s="5" cm="1">
        <f t="array" ref="E146">INDEX(Лист2!$C:$C,MATCH(1,(Лист2!$A:$A=A146)*(Лист2!$B:$B=B146),0))</f>
        <v>125</v>
      </c>
      <c r="F146" s="30" cm="1">
        <f t="array" ref="F146">INDEX(Лист2!$D:$D,MATCH(1,(Лист2!$A:$A=A146)*(Лист2!$B:$B=B146),0))</f>
        <v>21106</v>
      </c>
      <c r="G146" s="5" cm="1">
        <f t="array" ref="G146">INDEX(Лист2!$E:$E,MATCH(1,(Лист2!$A:$A=A146)*(Лист2!$B:$B=B146),0))</f>
        <v>19651</v>
      </c>
      <c r="H146" s="9">
        <f t="shared" si="4"/>
        <v>316628.61599999998</v>
      </c>
      <c r="I146">
        <f t="shared" si="5"/>
        <v>20</v>
      </c>
    </row>
    <row r="147" spans="1:9" ht="14.25" customHeight="1" x14ac:dyDescent="0.3">
      <c r="A147" s="19">
        <v>43972</v>
      </c>
      <c r="B147" s="20" t="s">
        <v>15</v>
      </c>
      <c r="C147" s="21">
        <v>378043.5</v>
      </c>
      <c r="D147" s="22">
        <v>37902156.57</v>
      </c>
      <c r="E147" s="5" cm="1">
        <f t="array" ref="E147">INDEX(Лист2!$C:$C,MATCH(1,(Лист2!$A:$A=A147)*(Лист2!$B:$B=B147),0))</f>
        <v>125</v>
      </c>
      <c r="F147" s="30" cm="1">
        <f t="array" ref="F147">INDEX(Лист2!$D:$D,MATCH(1,(Лист2!$A:$A=A147)*(Лист2!$B:$B=B147),0))</f>
        <v>20911</v>
      </c>
      <c r="G147" s="5" cm="1">
        <f t="array" ref="G147">INDEX(Лист2!$E:$E,MATCH(1,(Лист2!$A:$A=A147)*(Лист2!$B:$B=B147),0))</f>
        <v>19358</v>
      </c>
      <c r="H147" s="9">
        <f t="shared" si="4"/>
        <v>303217.25255999999</v>
      </c>
      <c r="I147">
        <f t="shared" si="5"/>
        <v>21</v>
      </c>
    </row>
    <row r="148" spans="1:9" ht="14.25" customHeight="1" x14ac:dyDescent="0.3">
      <c r="A148" s="15">
        <v>43971</v>
      </c>
      <c r="B148" s="16" t="s">
        <v>15</v>
      </c>
      <c r="C148" s="17">
        <v>388668</v>
      </c>
      <c r="D148" s="18">
        <v>39639309</v>
      </c>
      <c r="E148" s="5" cm="1">
        <f t="array" ref="E148">INDEX(Лист2!$C:$C,MATCH(1,(Лист2!$A:$A=A148)*(Лист2!$B:$B=B148),0))</f>
        <v>125</v>
      </c>
      <c r="F148" s="30" cm="1">
        <f t="array" ref="F148">INDEX(Лист2!$D:$D,MATCH(1,(Лист2!$A:$A=A148)*(Лист2!$B:$B=B148),0))</f>
        <v>21674</v>
      </c>
      <c r="G148" s="5" cm="1">
        <f t="array" ref="G148">INDEX(Лист2!$E:$E,MATCH(1,(Лист2!$A:$A=A148)*(Лист2!$B:$B=B148),0))</f>
        <v>20155</v>
      </c>
      <c r="H148" s="9">
        <f t="shared" si="4"/>
        <v>317114.47200000001</v>
      </c>
      <c r="I148">
        <f t="shared" si="5"/>
        <v>21</v>
      </c>
    </row>
    <row r="149" spans="1:9" ht="14.25" customHeight="1" x14ac:dyDescent="0.3">
      <c r="A149" s="19">
        <v>43956</v>
      </c>
      <c r="B149" s="20" t="s">
        <v>15</v>
      </c>
      <c r="C149" s="21">
        <v>333792</v>
      </c>
      <c r="D149" s="22">
        <v>35671734</v>
      </c>
      <c r="E149" s="5" cm="1">
        <f t="array" ref="E149">INDEX(Лист2!$C:$C,MATCH(1,(Лист2!$A:$A=A149)*(Лист2!$B:$B=B149),0))</f>
        <v>125</v>
      </c>
      <c r="F149" s="30" cm="1">
        <f t="array" ref="F149">INDEX(Лист2!$D:$D,MATCH(1,(Лист2!$A:$A=A149)*(Лист2!$B:$B=B149),0))</f>
        <v>18944</v>
      </c>
      <c r="G149" s="5" cm="1">
        <f t="array" ref="G149">INDEX(Лист2!$E:$E,MATCH(1,(Лист2!$A:$A=A149)*(Лист2!$B:$B=B149),0))</f>
        <v>17541</v>
      </c>
      <c r="H149" s="9">
        <f t="shared" si="4"/>
        <v>285373.87199999997</v>
      </c>
      <c r="I149">
        <f t="shared" si="5"/>
        <v>19</v>
      </c>
    </row>
    <row r="150" spans="1:9" ht="14.25" customHeight="1" x14ac:dyDescent="0.3">
      <c r="A150" s="15">
        <v>43949</v>
      </c>
      <c r="B150" s="16" t="s">
        <v>15</v>
      </c>
      <c r="C150" s="17">
        <v>376060.5</v>
      </c>
      <c r="D150" s="18">
        <v>39918028.5</v>
      </c>
      <c r="E150" s="5" cm="1">
        <f t="array" ref="E150">INDEX(Лист2!$C:$C,MATCH(1,(Лист2!$A:$A=A150)*(Лист2!$B:$B=B150),0))</f>
        <v>125</v>
      </c>
      <c r="F150" s="30" cm="1">
        <f t="array" ref="F150">INDEX(Лист2!$D:$D,MATCH(1,(Лист2!$A:$A=A150)*(Лист2!$B:$B=B150),0))</f>
        <v>20914</v>
      </c>
      <c r="G150" s="5" cm="1">
        <f t="array" ref="G150">INDEX(Лист2!$E:$E,MATCH(1,(Лист2!$A:$A=A150)*(Лист2!$B:$B=B150),0))</f>
        <v>19479</v>
      </c>
      <c r="H150" s="9">
        <f t="shared" si="4"/>
        <v>319344.228</v>
      </c>
      <c r="I150">
        <f t="shared" si="5"/>
        <v>18</v>
      </c>
    </row>
    <row r="151" spans="1:9" ht="14.25" customHeight="1" x14ac:dyDescent="0.3">
      <c r="A151" s="19">
        <v>43964</v>
      </c>
      <c r="B151" s="20" t="s">
        <v>15</v>
      </c>
      <c r="C151" s="21">
        <v>350068.5</v>
      </c>
      <c r="D151" s="22">
        <v>37197115.5</v>
      </c>
      <c r="E151" s="5" cm="1">
        <f t="array" ref="E151">INDEX(Лист2!$C:$C,MATCH(1,(Лист2!$A:$A=A151)*(Лист2!$B:$B=B151),0))</f>
        <v>125</v>
      </c>
      <c r="F151" s="30" cm="1">
        <f t="array" ref="F151">INDEX(Лист2!$D:$D,MATCH(1,(Лист2!$A:$A=A151)*(Лист2!$B:$B=B151),0))</f>
        <v>19965</v>
      </c>
      <c r="G151" s="5" cm="1">
        <f t="array" ref="G151">INDEX(Лист2!$E:$E,MATCH(1,(Лист2!$A:$A=A151)*(Лист2!$B:$B=B151),0))</f>
        <v>18573</v>
      </c>
      <c r="H151" s="9">
        <f t="shared" si="4"/>
        <v>297576.924</v>
      </c>
      <c r="I151">
        <f t="shared" si="5"/>
        <v>20</v>
      </c>
    </row>
    <row r="152" spans="1:9" ht="14.25" hidden="1" customHeight="1" x14ac:dyDescent="0.3">
      <c r="A152" s="15">
        <v>43982</v>
      </c>
      <c r="B152" s="16" t="s">
        <v>14</v>
      </c>
      <c r="C152" s="17">
        <v>294337.5</v>
      </c>
      <c r="D152" s="18">
        <v>29327766</v>
      </c>
      <c r="E152" s="5" cm="1">
        <f t="array" ref="E152">INDEX(Лист2!$C:$C,MATCH(1,(Лист2!$A:$A=A152)*(Лист2!$B:$B=B152),0))</f>
        <v>129</v>
      </c>
      <c r="F152" s="30" cm="1">
        <f t="array" ref="F152">INDEX(Лист2!$D:$D,MATCH(1,(Лист2!$A:$A=A152)*(Лист2!$B:$B=B152),0))</f>
        <v>17235</v>
      </c>
      <c r="G152" s="5" cm="1">
        <f t="array" ref="G152">INDEX(Лист2!$E:$E,MATCH(1,(Лист2!$A:$A=A152)*(Лист2!$B:$B=B152),0))</f>
        <v>16052</v>
      </c>
      <c r="H152" s="9">
        <f t="shared" si="4"/>
        <v>227347.02325581395</v>
      </c>
      <c r="I152">
        <f t="shared" si="5"/>
        <v>22</v>
      </c>
    </row>
    <row r="153" spans="1:9" ht="14.25" customHeight="1" x14ac:dyDescent="0.3">
      <c r="A153" s="19">
        <v>43954</v>
      </c>
      <c r="B153" s="20" t="s">
        <v>15</v>
      </c>
      <c r="C153" s="21">
        <v>342666</v>
      </c>
      <c r="D153" s="22">
        <v>36631999.5</v>
      </c>
      <c r="E153" s="5" cm="1">
        <f t="array" ref="E153">INDEX(Лист2!$C:$C,MATCH(1,(Лист2!$A:$A=A153)*(Лист2!$B:$B=B153),0))</f>
        <v>125</v>
      </c>
      <c r="F153" s="30" cm="1">
        <f t="array" ref="F153">INDEX(Лист2!$D:$D,MATCH(1,(Лист2!$A:$A=A153)*(Лист2!$B:$B=B153),0))</f>
        <v>18861</v>
      </c>
      <c r="G153" s="5" cm="1">
        <f t="array" ref="G153">INDEX(Лист2!$E:$E,MATCH(1,(Лист2!$A:$A=A153)*(Лист2!$B:$B=B153),0))</f>
        <v>17420</v>
      </c>
      <c r="H153" s="9">
        <f t="shared" si="4"/>
        <v>293055.99599999998</v>
      </c>
      <c r="I153">
        <f t="shared" si="5"/>
        <v>18</v>
      </c>
    </row>
    <row r="154" spans="1:9" ht="14.25" hidden="1" customHeight="1" x14ac:dyDescent="0.3">
      <c r="A154" s="15">
        <v>43981</v>
      </c>
      <c r="B154" s="16" t="s">
        <v>14</v>
      </c>
      <c r="C154" s="17">
        <v>364882.5</v>
      </c>
      <c r="D154" s="18">
        <v>35724493.5</v>
      </c>
      <c r="E154" s="5" cm="1">
        <f t="array" ref="E154">INDEX(Лист2!$C:$C,MATCH(1,(Лист2!$A:$A=A154)*(Лист2!$B:$B=B154),0))</f>
        <v>129</v>
      </c>
      <c r="F154" s="30" cm="1">
        <f t="array" ref="F154">INDEX(Лист2!$D:$D,MATCH(1,(Лист2!$A:$A=A154)*(Лист2!$B:$B=B154),0))</f>
        <v>20243</v>
      </c>
      <c r="G154" s="5" cm="1">
        <f t="array" ref="G154">INDEX(Лист2!$E:$E,MATCH(1,(Лист2!$A:$A=A154)*(Лист2!$B:$B=B154),0))</f>
        <v>18711</v>
      </c>
      <c r="H154" s="9">
        <f t="shared" si="4"/>
        <v>276934.0581395349</v>
      </c>
      <c r="I154">
        <f t="shared" si="5"/>
        <v>22</v>
      </c>
    </row>
    <row r="155" spans="1:9" ht="14.25" customHeight="1" x14ac:dyDescent="0.3">
      <c r="A155" s="19">
        <v>43957</v>
      </c>
      <c r="B155" s="20" t="s">
        <v>15</v>
      </c>
      <c r="C155" s="21">
        <v>355278</v>
      </c>
      <c r="D155" s="22">
        <v>38092344</v>
      </c>
      <c r="E155" s="5" cm="1">
        <f t="array" ref="E155">INDEX(Лист2!$C:$C,MATCH(1,(Лист2!$A:$A=A155)*(Лист2!$B:$B=B155),0))</f>
        <v>125</v>
      </c>
      <c r="F155" s="30" cm="1">
        <f t="array" ref="F155">INDEX(Лист2!$D:$D,MATCH(1,(Лист2!$A:$A=A155)*(Лист2!$B:$B=B155),0))</f>
        <v>20218</v>
      </c>
      <c r="G155" s="5" cm="1">
        <f t="array" ref="G155">INDEX(Лист2!$E:$E,MATCH(1,(Лист2!$A:$A=A155)*(Лист2!$B:$B=B155),0))</f>
        <v>18647</v>
      </c>
      <c r="H155" s="9">
        <f t="shared" si="4"/>
        <v>304738.75199999998</v>
      </c>
      <c r="I155">
        <f t="shared" si="5"/>
        <v>19</v>
      </c>
    </row>
    <row r="156" spans="1:9" ht="14.25" customHeight="1" x14ac:dyDescent="0.3">
      <c r="A156" s="15">
        <v>43974</v>
      </c>
      <c r="B156" s="16" t="s">
        <v>15</v>
      </c>
      <c r="C156" s="17">
        <v>456885</v>
      </c>
      <c r="D156" s="18">
        <v>46408080</v>
      </c>
      <c r="E156" s="5" cm="1">
        <f t="array" ref="E156">INDEX(Лист2!$C:$C,MATCH(1,(Лист2!$A:$A=A156)*(Лист2!$B:$B=B156),0))</f>
        <v>125</v>
      </c>
      <c r="F156" s="30" cm="1">
        <f t="array" ref="F156">INDEX(Лист2!$D:$D,MATCH(1,(Лист2!$A:$A=A156)*(Лист2!$B:$B=B156),0))</f>
        <v>24574</v>
      </c>
      <c r="G156" s="5" cm="1">
        <f t="array" ref="G156">INDEX(Лист2!$E:$E,MATCH(1,(Лист2!$A:$A=A156)*(Лист2!$B:$B=B156),0))</f>
        <v>22609</v>
      </c>
      <c r="H156" s="9">
        <f t="shared" si="4"/>
        <v>371264.64</v>
      </c>
      <c r="I156">
        <f t="shared" si="5"/>
        <v>21</v>
      </c>
    </row>
    <row r="157" spans="1:9" ht="14.25" hidden="1" customHeight="1" x14ac:dyDescent="0.3">
      <c r="A157" s="19">
        <v>43979</v>
      </c>
      <c r="B157" s="20" t="s">
        <v>14</v>
      </c>
      <c r="C157" s="21">
        <v>278491.5</v>
      </c>
      <c r="D157" s="22">
        <v>28151004.75</v>
      </c>
      <c r="E157" s="5" cm="1">
        <f t="array" ref="E157">INDEX(Лист2!$C:$C,MATCH(1,(Лист2!$A:$A=A157)*(Лист2!$B:$B=B157),0))</f>
        <v>129</v>
      </c>
      <c r="F157" s="30" cm="1">
        <f t="array" ref="F157">INDEX(Лист2!$D:$D,MATCH(1,(Лист2!$A:$A=A157)*(Лист2!$B:$B=B157),0))</f>
        <v>16453</v>
      </c>
      <c r="G157" s="5" cm="1">
        <f t="array" ref="G157">INDEX(Лист2!$E:$E,MATCH(1,(Лист2!$A:$A=A157)*(Лист2!$B:$B=B157),0))</f>
        <v>15289</v>
      </c>
      <c r="H157" s="9">
        <f t="shared" si="4"/>
        <v>218224.84302325582</v>
      </c>
      <c r="I157">
        <f t="shared" si="5"/>
        <v>22</v>
      </c>
    </row>
    <row r="158" spans="1:9" ht="14.25" customHeight="1" x14ac:dyDescent="0.3">
      <c r="A158" s="15">
        <v>43976</v>
      </c>
      <c r="B158" s="16" t="s">
        <v>15</v>
      </c>
      <c r="C158" s="17">
        <v>349734</v>
      </c>
      <c r="D158" s="18">
        <v>36883428</v>
      </c>
      <c r="E158" s="5" cm="1">
        <f t="array" ref="E158">INDEX(Лист2!$C:$C,MATCH(1,(Лист2!$A:$A=A158)*(Лист2!$B:$B=B158),0))</f>
        <v>124</v>
      </c>
      <c r="F158" s="30" cm="1">
        <f t="array" ref="F158">INDEX(Лист2!$D:$D,MATCH(1,(Лист2!$A:$A=A158)*(Лист2!$B:$B=B158),0))</f>
        <v>20358</v>
      </c>
      <c r="G158" s="5" cm="1">
        <f t="array" ref="G158">INDEX(Лист2!$E:$E,MATCH(1,(Лист2!$A:$A=A158)*(Лист2!$B:$B=B158),0))</f>
        <v>18890</v>
      </c>
      <c r="H158" s="9">
        <f t="shared" si="4"/>
        <v>297447</v>
      </c>
      <c r="I158">
        <f t="shared" si="5"/>
        <v>22</v>
      </c>
    </row>
    <row r="159" spans="1:9" ht="14.25" customHeight="1" x14ac:dyDescent="0.3">
      <c r="A159" s="19">
        <v>43951</v>
      </c>
      <c r="B159" s="20" t="s">
        <v>15</v>
      </c>
      <c r="C159" s="21">
        <v>401580</v>
      </c>
      <c r="D159" s="22">
        <v>43028734.5</v>
      </c>
      <c r="E159" s="5" cm="1">
        <f t="array" ref="E159">INDEX(Лист2!$C:$C,MATCH(1,(Лист2!$A:$A=A159)*(Лист2!$B:$B=B159),0))</f>
        <v>125</v>
      </c>
      <c r="F159" s="30" cm="1">
        <f t="array" ref="F159">INDEX(Лист2!$D:$D,MATCH(1,(Лист2!$A:$A=A159)*(Лист2!$B:$B=B159),0))</f>
        <v>22368</v>
      </c>
      <c r="G159" s="5" cm="1">
        <f t="array" ref="G159">INDEX(Лист2!$E:$E,MATCH(1,(Лист2!$A:$A=A159)*(Лист2!$B:$B=B159),0))</f>
        <v>20625</v>
      </c>
      <c r="H159" s="9">
        <f t="shared" si="4"/>
        <v>344229.87599999999</v>
      </c>
      <c r="I159">
        <f t="shared" si="5"/>
        <v>18</v>
      </c>
    </row>
    <row r="160" spans="1:9" ht="14.25" customHeight="1" x14ac:dyDescent="0.3">
      <c r="A160" s="15">
        <v>43961</v>
      </c>
      <c r="B160" s="16" t="s">
        <v>15</v>
      </c>
      <c r="C160" s="17">
        <v>368649</v>
      </c>
      <c r="D160" s="18">
        <v>39010875</v>
      </c>
      <c r="E160" s="5" cm="1">
        <f t="array" ref="E160">INDEX(Лист2!$C:$C,MATCH(1,(Лист2!$A:$A=A160)*(Лист2!$B:$B=B160),0))</f>
        <v>125</v>
      </c>
      <c r="F160" s="30" cm="1">
        <f t="array" ref="F160">INDEX(Лист2!$D:$D,MATCH(1,(Лист2!$A:$A=A160)*(Лист2!$B:$B=B160),0))</f>
        <v>20368</v>
      </c>
      <c r="G160" s="5" cm="1">
        <f t="array" ref="G160">INDEX(Лист2!$E:$E,MATCH(1,(Лист2!$A:$A=A160)*(Лист2!$B:$B=B160),0))</f>
        <v>18884</v>
      </c>
      <c r="H160" s="9">
        <f t="shared" si="4"/>
        <v>312087</v>
      </c>
      <c r="I160">
        <f t="shared" si="5"/>
        <v>19</v>
      </c>
    </row>
    <row r="161" spans="1:9" ht="14.25" customHeight="1" x14ac:dyDescent="0.3">
      <c r="A161" s="19">
        <v>43959</v>
      </c>
      <c r="B161" s="20" t="s">
        <v>15</v>
      </c>
      <c r="C161" s="21">
        <v>463530</v>
      </c>
      <c r="D161" s="22">
        <v>49123180.5</v>
      </c>
      <c r="E161" s="5" cm="1">
        <f t="array" ref="E161">INDEX(Лист2!$C:$C,MATCH(1,(Лист2!$A:$A=A161)*(Лист2!$B:$B=B161),0))</f>
        <v>125</v>
      </c>
      <c r="F161" s="30" cm="1">
        <f t="array" ref="F161">INDEX(Лист2!$D:$D,MATCH(1,(Лист2!$A:$A=A161)*(Лист2!$B:$B=B161),0))</f>
        <v>24620</v>
      </c>
      <c r="G161" s="5" cm="1">
        <f t="array" ref="G161">INDEX(Лист2!$E:$E,MATCH(1,(Лист2!$A:$A=A161)*(Лист2!$B:$B=B161),0))</f>
        <v>22641</v>
      </c>
      <c r="H161" s="9">
        <f t="shared" si="4"/>
        <v>392985.44400000002</v>
      </c>
      <c r="I161">
        <f t="shared" si="5"/>
        <v>19</v>
      </c>
    </row>
    <row r="162" spans="1:9" ht="14.25" customHeight="1" x14ac:dyDescent="0.3">
      <c r="A162" s="15">
        <v>43958</v>
      </c>
      <c r="B162" s="16" t="s">
        <v>15</v>
      </c>
      <c r="C162" s="17">
        <v>319110</v>
      </c>
      <c r="D162" s="18">
        <v>33763989</v>
      </c>
      <c r="E162" s="5" cm="1">
        <f t="array" ref="E162">INDEX(Лист2!$C:$C,MATCH(1,(Лист2!$A:$A=A162)*(Лист2!$B:$B=B162),0))</f>
        <v>125</v>
      </c>
      <c r="F162" s="30" cm="1">
        <f t="array" ref="F162">INDEX(Лист2!$D:$D,MATCH(1,(Лист2!$A:$A=A162)*(Лист2!$B:$B=B162),0))</f>
        <v>18014</v>
      </c>
      <c r="G162" s="5" cm="1">
        <f t="array" ref="G162">INDEX(Лист2!$E:$E,MATCH(1,(Лист2!$A:$A=A162)*(Лист2!$B:$B=B162),0))</f>
        <v>16675</v>
      </c>
      <c r="H162" s="9">
        <f t="shared" si="4"/>
        <v>270111.91200000001</v>
      </c>
      <c r="I162">
        <f t="shared" si="5"/>
        <v>19</v>
      </c>
    </row>
    <row r="163" spans="1:9" ht="14.25" customHeight="1" x14ac:dyDescent="0.3">
      <c r="A163" s="19">
        <v>43975</v>
      </c>
      <c r="B163" s="20" t="s">
        <v>15</v>
      </c>
      <c r="C163" s="21">
        <v>375744</v>
      </c>
      <c r="D163" s="22">
        <v>38191381.5</v>
      </c>
      <c r="E163" s="5" cm="1">
        <f t="array" ref="E163">INDEX(Лист2!$C:$C,MATCH(1,(Лист2!$A:$A=A163)*(Лист2!$B:$B=B163),0))</f>
        <v>125</v>
      </c>
      <c r="F163" s="30" cm="1">
        <f t="array" ref="F163">INDEX(Лист2!$D:$D,MATCH(1,(Лист2!$A:$A=A163)*(Лист2!$B:$B=B163),0))</f>
        <v>21004</v>
      </c>
      <c r="G163" s="5" cm="1">
        <f t="array" ref="G163">INDEX(Лист2!$E:$E,MATCH(1,(Лист2!$A:$A=A163)*(Лист2!$B:$B=B163),0))</f>
        <v>19556</v>
      </c>
      <c r="H163" s="9">
        <f t="shared" si="4"/>
        <v>305531.05200000003</v>
      </c>
      <c r="I163">
        <f t="shared" si="5"/>
        <v>21</v>
      </c>
    </row>
    <row r="164" spans="1:9" ht="14.25" hidden="1" customHeight="1" x14ac:dyDescent="0.3">
      <c r="A164" s="15">
        <v>43967</v>
      </c>
      <c r="B164" s="16" t="s">
        <v>16</v>
      </c>
      <c r="C164" s="17">
        <v>81331.5</v>
      </c>
      <c r="D164" s="28">
        <v>6652179</v>
      </c>
      <c r="E164" s="5" cm="1">
        <f t="array" ref="E164">INDEX(Лист2!$C:$C,MATCH(1,(Лист2!$A:$A=A164)*(Лист2!$B:$B=B164),0))</f>
        <v>36</v>
      </c>
      <c r="F164" s="30" cm="1">
        <f t="array" ref="F164">INDEX(Лист2!$D:$D,MATCH(1,(Лист2!$A:$A=A164)*(Лист2!$B:$B=B164),0))</f>
        <v>5286</v>
      </c>
      <c r="G164" s="5" cm="1">
        <f t="array" ref="G164">INDEX(Лист2!$E:$E,MATCH(1,(Лист2!$A:$A=A164)*(Лист2!$B:$B=B164),0))</f>
        <v>4867</v>
      </c>
      <c r="H164" s="9">
        <f t="shared" si="4"/>
        <v>184782.75</v>
      </c>
      <c r="I164">
        <f t="shared" si="5"/>
        <v>20</v>
      </c>
    </row>
    <row r="165" spans="1:9" ht="14.25" hidden="1" customHeight="1" x14ac:dyDescent="0.3">
      <c r="A165" s="19">
        <v>43970</v>
      </c>
      <c r="B165" s="20" t="s">
        <v>16</v>
      </c>
      <c r="C165" s="21">
        <v>75796.5</v>
      </c>
      <c r="D165" s="29">
        <v>6173463</v>
      </c>
      <c r="E165" s="5" cm="1">
        <f t="array" ref="E165">INDEX(Лист2!$C:$C,MATCH(1,(Лист2!$A:$A=A165)*(Лист2!$B:$B=B165),0))</f>
        <v>36</v>
      </c>
      <c r="F165" s="30" cm="1">
        <f t="array" ref="F165">INDEX(Лист2!$D:$D,MATCH(1,(Лист2!$A:$A=A165)*(Лист2!$B:$B=B165),0))</f>
        <v>5094</v>
      </c>
      <c r="G165" s="5" cm="1">
        <f t="array" ref="G165">INDEX(Лист2!$E:$E,MATCH(1,(Лист2!$A:$A=A165)*(Лист2!$B:$B=B165),0))</f>
        <v>4716</v>
      </c>
      <c r="H165" s="9">
        <f t="shared" si="4"/>
        <v>171485.08333333334</v>
      </c>
      <c r="I165">
        <f t="shared" si="5"/>
        <v>21</v>
      </c>
    </row>
    <row r="166" spans="1:9" ht="14.25" hidden="1" customHeight="1" x14ac:dyDescent="0.3">
      <c r="A166" s="15">
        <v>43968</v>
      </c>
      <c r="B166" s="16" t="s">
        <v>16</v>
      </c>
      <c r="C166" s="17">
        <v>72861</v>
      </c>
      <c r="D166" s="28">
        <v>5952802.5</v>
      </c>
      <c r="E166" s="5" cm="1">
        <f t="array" ref="E166">INDEX(Лист2!$C:$C,MATCH(1,(Лист2!$A:$A=A166)*(Лист2!$B:$B=B166),0))</f>
        <v>36</v>
      </c>
      <c r="F166" s="30" cm="1">
        <f t="array" ref="F166">INDEX(Лист2!$D:$D,MATCH(1,(Лист2!$A:$A=A166)*(Лист2!$B:$B=B166),0))</f>
        <v>4918</v>
      </c>
      <c r="G166" s="5" cm="1">
        <f t="array" ref="G166">INDEX(Лист2!$E:$E,MATCH(1,(Лист2!$A:$A=A166)*(Лист2!$B:$B=B166),0))</f>
        <v>4554</v>
      </c>
      <c r="H166" s="9">
        <f t="shared" si="4"/>
        <v>165355.625</v>
      </c>
      <c r="I166">
        <f t="shared" si="5"/>
        <v>20</v>
      </c>
    </row>
    <row r="167" spans="1:9" ht="14.25" hidden="1" customHeight="1" x14ac:dyDescent="0.3">
      <c r="A167" s="19">
        <v>43960</v>
      </c>
      <c r="B167" s="20" t="s">
        <v>16</v>
      </c>
      <c r="C167" s="21">
        <v>83373</v>
      </c>
      <c r="D167" s="29">
        <v>7253427</v>
      </c>
      <c r="E167" s="5" cm="1">
        <f t="array" ref="E167">INDEX(Лист2!$C:$C,MATCH(1,(Лист2!$A:$A=A167)*(Лист2!$B:$B=B167),0))</f>
        <v>36</v>
      </c>
      <c r="F167" s="30" cm="1">
        <f t="array" ref="F167">INDEX(Лист2!$D:$D,MATCH(1,(Лист2!$A:$A=A167)*(Лист2!$B:$B=B167),0))</f>
        <v>5413</v>
      </c>
      <c r="G167" s="5" cm="1">
        <f t="array" ref="G167">INDEX(Лист2!$E:$E,MATCH(1,(Лист2!$A:$A=A167)*(Лист2!$B:$B=B167),0))</f>
        <v>4959</v>
      </c>
      <c r="H167" s="9">
        <f t="shared" si="4"/>
        <v>201484.08333333334</v>
      </c>
      <c r="I167">
        <f t="shared" si="5"/>
        <v>19</v>
      </c>
    </row>
    <row r="168" spans="1:9" ht="14.25" hidden="1" customHeight="1" x14ac:dyDescent="0.3">
      <c r="A168" s="15">
        <v>43955</v>
      </c>
      <c r="B168" s="16" t="s">
        <v>16</v>
      </c>
      <c r="C168" s="17">
        <v>64108.5</v>
      </c>
      <c r="D168" s="28">
        <v>5561452.5</v>
      </c>
      <c r="E168" s="5" cm="1">
        <f t="array" ref="E168">INDEX(Лист2!$C:$C,MATCH(1,(Лист2!$A:$A=A168)*(Лист2!$B:$B=B168),0))</f>
        <v>36</v>
      </c>
      <c r="F168" s="30" cm="1">
        <f t="array" ref="F168">INDEX(Лист2!$D:$D,MATCH(1,(Лист2!$A:$A=A168)*(Лист2!$B:$B=B168),0))</f>
        <v>4508</v>
      </c>
      <c r="G168" s="5" cm="1">
        <f t="array" ref="G168">INDEX(Лист2!$E:$E,MATCH(1,(Лист2!$A:$A=A168)*(Лист2!$B:$B=B168),0))</f>
        <v>4149</v>
      </c>
      <c r="H168" s="9">
        <f t="shared" si="4"/>
        <v>154484.79166666666</v>
      </c>
      <c r="I168">
        <f t="shared" si="5"/>
        <v>19</v>
      </c>
    </row>
    <row r="169" spans="1:9" ht="14.25" hidden="1" customHeight="1" x14ac:dyDescent="0.3">
      <c r="A169" s="19">
        <v>43950</v>
      </c>
      <c r="B169" s="20" t="s">
        <v>16</v>
      </c>
      <c r="C169" s="21">
        <v>74707.5</v>
      </c>
      <c r="D169" s="29">
        <v>6454458</v>
      </c>
      <c r="E169" s="5" cm="1">
        <f t="array" ref="E169">INDEX(Лист2!$C:$C,MATCH(1,(Лист2!$A:$A=A169)*(Лист2!$B:$B=B169),0))</f>
        <v>36</v>
      </c>
      <c r="F169" s="30" cm="1">
        <f t="array" ref="F169">INDEX(Лист2!$D:$D,MATCH(1,(Лист2!$A:$A=A169)*(Лист2!$B:$B=B169),0))</f>
        <v>4937</v>
      </c>
      <c r="G169" s="5" cm="1">
        <f t="array" ref="G169">INDEX(Лист2!$E:$E,MATCH(1,(Лист2!$A:$A=A169)*(Лист2!$B:$B=B169),0))</f>
        <v>4561</v>
      </c>
      <c r="H169" s="9">
        <f t="shared" si="4"/>
        <v>179290.5</v>
      </c>
      <c r="I169">
        <f t="shared" si="5"/>
        <v>18</v>
      </c>
    </row>
    <row r="170" spans="1:9" ht="14.25" hidden="1" customHeight="1" x14ac:dyDescent="0.3">
      <c r="A170" s="15">
        <v>43953</v>
      </c>
      <c r="B170" s="16" t="s">
        <v>16</v>
      </c>
      <c r="C170" s="17">
        <v>46216.5</v>
      </c>
      <c r="D170" s="28">
        <v>4118251.5</v>
      </c>
      <c r="E170" s="5" cm="1">
        <f t="array" ref="E170">INDEX(Лист2!$C:$C,MATCH(1,(Лист2!$A:$A=A170)*(Лист2!$B:$B=B170),0))</f>
        <v>36</v>
      </c>
      <c r="F170" s="30" cm="1">
        <f t="array" ref="F170">INDEX(Лист2!$D:$D,MATCH(1,(Лист2!$A:$A=A170)*(Лист2!$B:$B=B170),0))</f>
        <v>3442</v>
      </c>
      <c r="G170" s="5" cm="1">
        <f t="array" ref="G170">INDEX(Лист2!$E:$E,MATCH(1,(Лист2!$A:$A=A170)*(Лист2!$B:$B=B170),0))</f>
        <v>3147</v>
      </c>
      <c r="H170" s="9">
        <f t="shared" si="4"/>
        <v>114395.875</v>
      </c>
      <c r="I170">
        <f t="shared" si="5"/>
        <v>18</v>
      </c>
    </row>
    <row r="171" spans="1:9" ht="14.25" hidden="1" customHeight="1" x14ac:dyDescent="0.3">
      <c r="A171" s="19">
        <v>43977</v>
      </c>
      <c r="B171" s="20" t="s">
        <v>16</v>
      </c>
      <c r="C171" s="21">
        <v>67726.5</v>
      </c>
      <c r="D171" s="29">
        <v>5864989.5</v>
      </c>
      <c r="E171" s="5" cm="1">
        <f t="array" ref="E171">INDEX(Лист2!$C:$C,MATCH(1,(Лист2!$A:$A=A171)*(Лист2!$B:$B=B171),0))</f>
        <v>36</v>
      </c>
      <c r="F171" s="30" cm="1">
        <f t="array" ref="F171">INDEX(Лист2!$D:$D,MATCH(1,(Лист2!$A:$A=A171)*(Лист2!$B:$B=B171),0))</f>
        <v>4770</v>
      </c>
      <c r="G171" s="5" cm="1">
        <f t="array" ref="G171">INDEX(Лист2!$E:$E,MATCH(1,(Лист2!$A:$A=A171)*(Лист2!$B:$B=B171),0))</f>
        <v>4424</v>
      </c>
      <c r="H171" s="9">
        <f t="shared" si="4"/>
        <v>162916.375</v>
      </c>
      <c r="I171">
        <f t="shared" si="5"/>
        <v>22</v>
      </c>
    </row>
    <row r="172" spans="1:9" ht="14.25" hidden="1" customHeight="1" x14ac:dyDescent="0.3">
      <c r="A172" s="15">
        <v>43952</v>
      </c>
      <c r="B172" s="16" t="s">
        <v>16</v>
      </c>
      <c r="C172" s="17">
        <v>82228.5</v>
      </c>
      <c r="D172" s="28">
        <v>7032225</v>
      </c>
      <c r="E172" s="5" cm="1">
        <f t="array" ref="E172">INDEX(Лист2!$C:$C,MATCH(1,(Лист2!$A:$A=A172)*(Лист2!$B:$B=B172),0))</f>
        <v>36</v>
      </c>
      <c r="F172" s="30" cm="1">
        <f t="array" ref="F172">INDEX(Лист2!$D:$D,MATCH(1,(Лист2!$A:$A=A172)*(Лист2!$B:$B=B172),0))</f>
        <v>5457</v>
      </c>
      <c r="G172" s="5" cm="1">
        <f t="array" ref="G172">INDEX(Лист2!$E:$E,MATCH(1,(Лист2!$A:$A=A172)*(Лист2!$B:$B=B172),0))</f>
        <v>4916</v>
      </c>
      <c r="H172" s="9">
        <f t="shared" si="4"/>
        <v>195339.58333333334</v>
      </c>
      <c r="I172">
        <f t="shared" si="5"/>
        <v>18</v>
      </c>
    </row>
    <row r="173" spans="1:9" ht="14.25" hidden="1" customHeight="1" x14ac:dyDescent="0.3">
      <c r="A173" s="19">
        <v>43963</v>
      </c>
      <c r="B173" s="20" t="s">
        <v>16</v>
      </c>
      <c r="C173" s="21">
        <v>64390.5</v>
      </c>
      <c r="D173" s="29">
        <v>5523145.5</v>
      </c>
      <c r="E173" s="5" cm="1">
        <f t="array" ref="E173">INDEX(Лист2!$C:$C,MATCH(1,(Лист2!$A:$A=A173)*(Лист2!$B:$B=B173),0))</f>
        <v>36</v>
      </c>
      <c r="F173" s="30" cm="1">
        <f t="array" ref="F173">INDEX(Лист2!$D:$D,MATCH(1,(Лист2!$A:$A=A173)*(Лист2!$B:$B=B173),0))</f>
        <v>4418</v>
      </c>
      <c r="G173" s="5" cm="1">
        <f t="array" ref="G173">INDEX(Лист2!$E:$E,MATCH(1,(Лист2!$A:$A=A173)*(Лист2!$B:$B=B173),0))</f>
        <v>4088</v>
      </c>
      <c r="H173" s="9">
        <f t="shared" si="4"/>
        <v>153420.70833333334</v>
      </c>
      <c r="I173">
        <f t="shared" si="5"/>
        <v>20</v>
      </c>
    </row>
    <row r="174" spans="1:9" ht="14.25" hidden="1" customHeight="1" x14ac:dyDescent="0.3">
      <c r="A174" s="15">
        <v>43972</v>
      </c>
      <c r="B174" s="16" t="s">
        <v>16</v>
      </c>
      <c r="C174" s="17">
        <v>73126.5</v>
      </c>
      <c r="D174" s="28">
        <v>5864085</v>
      </c>
      <c r="E174" s="5" cm="1">
        <f t="array" ref="E174">INDEX(Лист2!$C:$C,MATCH(1,(Лист2!$A:$A=A174)*(Лист2!$B:$B=B174),0))</f>
        <v>36</v>
      </c>
      <c r="F174" s="30" cm="1">
        <f t="array" ref="F174">INDEX(Лист2!$D:$D,MATCH(1,(Лист2!$A:$A=A174)*(Лист2!$B:$B=B174),0))</f>
        <v>4816</v>
      </c>
      <c r="G174" s="5" cm="1">
        <f t="array" ref="G174">INDEX(Лист2!$E:$E,MATCH(1,(Лист2!$A:$A=A174)*(Лист2!$B:$B=B174),0))</f>
        <v>4452</v>
      </c>
      <c r="H174" s="9">
        <f t="shared" si="4"/>
        <v>162891.25</v>
      </c>
      <c r="I174">
        <f t="shared" si="5"/>
        <v>21</v>
      </c>
    </row>
    <row r="175" spans="1:9" ht="14.25" hidden="1" customHeight="1" x14ac:dyDescent="0.3">
      <c r="A175" s="19">
        <v>43971</v>
      </c>
      <c r="B175" s="20" t="s">
        <v>16</v>
      </c>
      <c r="C175" s="21">
        <v>99631.5</v>
      </c>
      <c r="D175" s="29">
        <v>7121946</v>
      </c>
      <c r="E175" s="5" cm="1">
        <f t="array" ref="E175">INDEX(Лист2!$C:$C,MATCH(1,(Лист2!$A:$A=A175)*(Лист2!$B:$B=B175),0))</f>
        <v>36</v>
      </c>
      <c r="F175" s="30" cm="1">
        <f t="array" ref="F175">INDEX(Лист2!$D:$D,MATCH(1,(Лист2!$A:$A=A175)*(Лист2!$B:$B=B175),0))</f>
        <v>5914</v>
      </c>
      <c r="G175" s="5" cm="1">
        <f t="array" ref="G175">INDEX(Лист2!$E:$E,MATCH(1,(Лист2!$A:$A=A175)*(Лист2!$B:$B=B175),0))</f>
        <v>5384</v>
      </c>
      <c r="H175" s="9">
        <f t="shared" si="4"/>
        <v>197831.83333333334</v>
      </c>
      <c r="I175">
        <f t="shared" si="5"/>
        <v>21</v>
      </c>
    </row>
    <row r="176" spans="1:9" ht="14.25" hidden="1" customHeight="1" x14ac:dyDescent="0.3">
      <c r="A176" s="15">
        <v>43956</v>
      </c>
      <c r="B176" s="16" t="s">
        <v>16</v>
      </c>
      <c r="C176" s="17">
        <v>66396</v>
      </c>
      <c r="D176" s="28">
        <v>5770539</v>
      </c>
      <c r="E176" s="5" cm="1">
        <f t="array" ref="E176">INDEX(Лист2!$C:$C,MATCH(1,(Лист2!$A:$A=A176)*(Лист2!$B:$B=B176),0))</f>
        <v>36</v>
      </c>
      <c r="F176" s="30" cm="1">
        <f t="array" ref="F176">INDEX(Лист2!$D:$D,MATCH(1,(Лист2!$A:$A=A176)*(Лист2!$B:$B=B176),0))</f>
        <v>4575</v>
      </c>
      <c r="G176" s="5" cm="1">
        <f t="array" ref="G176">INDEX(Лист2!$E:$E,MATCH(1,(Лист2!$A:$A=A176)*(Лист2!$B:$B=B176),0))</f>
        <v>4206</v>
      </c>
      <c r="H176" s="9">
        <f t="shared" si="4"/>
        <v>160292.75</v>
      </c>
      <c r="I176">
        <f t="shared" si="5"/>
        <v>19</v>
      </c>
    </row>
    <row r="177" spans="1:9" ht="14.25" hidden="1" customHeight="1" x14ac:dyDescent="0.3">
      <c r="A177" s="19">
        <v>43949</v>
      </c>
      <c r="B177" s="20" t="s">
        <v>16</v>
      </c>
      <c r="C177" s="21">
        <v>73147.5</v>
      </c>
      <c r="D177" s="29">
        <v>6288246</v>
      </c>
      <c r="E177" s="5" cm="1">
        <f t="array" ref="E177">INDEX(Лист2!$C:$C,MATCH(1,(Лист2!$A:$A=A177)*(Лист2!$B:$B=B177),0))</f>
        <v>36</v>
      </c>
      <c r="F177" s="30" cm="1">
        <f t="array" ref="F177">INDEX(Лист2!$D:$D,MATCH(1,(Лист2!$A:$A=A177)*(Лист2!$B:$B=B177),0))</f>
        <v>4923</v>
      </c>
      <c r="G177" s="5" cm="1">
        <f t="array" ref="G177">INDEX(Лист2!$E:$E,MATCH(1,(Лист2!$A:$A=A177)*(Лист2!$B:$B=B177),0))</f>
        <v>4560</v>
      </c>
      <c r="H177" s="9">
        <f t="shared" si="4"/>
        <v>174673.5</v>
      </c>
      <c r="I177">
        <f t="shared" si="5"/>
        <v>18</v>
      </c>
    </row>
    <row r="178" spans="1:9" ht="14.25" hidden="1" customHeight="1" x14ac:dyDescent="0.3">
      <c r="A178" s="15">
        <v>43964</v>
      </c>
      <c r="B178" s="16" t="s">
        <v>16</v>
      </c>
      <c r="C178" s="17">
        <v>73062</v>
      </c>
      <c r="D178" s="28">
        <v>6333828</v>
      </c>
      <c r="E178" s="5" cm="1">
        <f t="array" ref="E178">INDEX(Лист2!$C:$C,MATCH(1,(Лист2!$A:$A=A178)*(Лист2!$B:$B=B178),0))</f>
        <v>36</v>
      </c>
      <c r="F178" s="30" cm="1">
        <f t="array" ref="F178">INDEX(Лист2!$D:$D,MATCH(1,(Лист2!$A:$A=A178)*(Лист2!$B:$B=B178),0))</f>
        <v>4967</v>
      </c>
      <c r="G178" s="5" cm="1">
        <f t="array" ref="G178">INDEX(Лист2!$E:$E,MATCH(1,(Лист2!$A:$A=A178)*(Лист2!$B:$B=B178),0))</f>
        <v>4583</v>
      </c>
      <c r="H178" s="9">
        <f t="shared" si="4"/>
        <v>175939.66666666666</v>
      </c>
      <c r="I178">
        <f t="shared" si="5"/>
        <v>20</v>
      </c>
    </row>
    <row r="179" spans="1:9" ht="14.25" customHeight="1" x14ac:dyDescent="0.3">
      <c r="A179" s="19">
        <v>43982</v>
      </c>
      <c r="B179" s="20" t="s">
        <v>15</v>
      </c>
      <c r="C179" s="21">
        <v>379663.5</v>
      </c>
      <c r="D179" s="22">
        <v>39380178</v>
      </c>
      <c r="E179" s="5" cm="1">
        <f t="array" ref="E179">INDEX(Лист2!$C:$C,MATCH(1,(Лист2!$A:$A=A179)*(Лист2!$B:$B=B179),0))</f>
        <v>124</v>
      </c>
      <c r="F179" s="30" cm="1">
        <f t="array" ref="F179">INDEX(Лист2!$D:$D,MATCH(1,(Лист2!$A:$A=A179)*(Лист2!$B:$B=B179),0))</f>
        <v>21392</v>
      </c>
      <c r="G179" s="5" cm="1">
        <f t="array" ref="G179">INDEX(Лист2!$E:$E,MATCH(1,(Лист2!$A:$A=A179)*(Лист2!$B:$B=B179),0))</f>
        <v>19869</v>
      </c>
      <c r="H179" s="9">
        <f t="shared" si="4"/>
        <v>317582.08064516127</v>
      </c>
      <c r="I179">
        <f t="shared" si="5"/>
        <v>22</v>
      </c>
    </row>
    <row r="180" spans="1:9" ht="14.25" hidden="1" customHeight="1" x14ac:dyDescent="0.3">
      <c r="A180" s="15">
        <v>43954</v>
      </c>
      <c r="B180" s="16" t="s">
        <v>16</v>
      </c>
      <c r="C180" s="17">
        <v>70581</v>
      </c>
      <c r="D180" s="28">
        <v>6221320.5</v>
      </c>
      <c r="E180" s="5" cm="1">
        <f t="array" ref="E180">INDEX(Лист2!$C:$C,MATCH(1,(Лист2!$A:$A=A180)*(Лист2!$B:$B=B180),0))</f>
        <v>36</v>
      </c>
      <c r="F180" s="30" cm="1">
        <f t="array" ref="F180">INDEX(Лист2!$D:$D,MATCH(1,(Лист2!$A:$A=A180)*(Лист2!$B:$B=B180),0))</f>
        <v>4751</v>
      </c>
      <c r="G180" s="5" cm="1">
        <f t="array" ref="G180">INDEX(Лист2!$E:$E,MATCH(1,(Лист2!$A:$A=A180)*(Лист2!$B:$B=B180),0))</f>
        <v>4370</v>
      </c>
      <c r="H180" s="9">
        <f t="shared" si="4"/>
        <v>172814.45833333334</v>
      </c>
      <c r="I180">
        <f t="shared" si="5"/>
        <v>18</v>
      </c>
    </row>
    <row r="181" spans="1:9" ht="14.25" customHeight="1" x14ac:dyDescent="0.3">
      <c r="A181" s="19">
        <v>43981</v>
      </c>
      <c r="B181" s="20" t="s">
        <v>15</v>
      </c>
      <c r="C181" s="21">
        <v>453123</v>
      </c>
      <c r="D181" s="22">
        <v>46370904</v>
      </c>
      <c r="E181" s="5" cm="1">
        <f t="array" ref="E181">INDEX(Лист2!$C:$C,MATCH(1,(Лист2!$A:$A=A181)*(Лист2!$B:$B=B181),0))</f>
        <v>124</v>
      </c>
      <c r="F181" s="30" cm="1">
        <f t="array" ref="F181">INDEX(Лист2!$D:$D,MATCH(1,(Лист2!$A:$A=A181)*(Лист2!$B:$B=B181),0))</f>
        <v>24325</v>
      </c>
      <c r="G181" s="5" cm="1">
        <f t="array" ref="G181">INDEX(Лист2!$E:$E,MATCH(1,(Лист2!$A:$A=A181)*(Лист2!$B:$B=B181),0))</f>
        <v>22469</v>
      </c>
      <c r="H181" s="9">
        <f t="shared" si="4"/>
        <v>373958.90322580643</v>
      </c>
      <c r="I181">
        <f t="shared" si="5"/>
        <v>22</v>
      </c>
    </row>
    <row r="182" spans="1:9" ht="14.25" hidden="1" customHeight="1" x14ac:dyDescent="0.3">
      <c r="A182" s="15">
        <v>43957</v>
      </c>
      <c r="B182" s="16" t="s">
        <v>16</v>
      </c>
      <c r="C182" s="17">
        <v>63012</v>
      </c>
      <c r="D182" s="28">
        <v>5454121.5</v>
      </c>
      <c r="E182" s="5" cm="1">
        <f t="array" ref="E182">INDEX(Лист2!$C:$C,MATCH(1,(Лист2!$A:$A=A182)*(Лист2!$B:$B=B182),0))</f>
        <v>36</v>
      </c>
      <c r="F182" s="30" cm="1">
        <f t="array" ref="F182">INDEX(Лист2!$D:$D,MATCH(1,(Лист2!$A:$A=A182)*(Лист2!$B:$B=B182),0))</f>
        <v>4384</v>
      </c>
      <c r="G182" s="5" cm="1">
        <f t="array" ref="G182">INDEX(Лист2!$E:$E,MATCH(1,(Лист2!$A:$A=A182)*(Лист2!$B:$B=B182),0))</f>
        <v>4025</v>
      </c>
      <c r="H182" s="9">
        <f t="shared" si="4"/>
        <v>151503.375</v>
      </c>
      <c r="I182">
        <f t="shared" si="5"/>
        <v>19</v>
      </c>
    </row>
    <row r="183" spans="1:9" ht="14.25" hidden="1" customHeight="1" x14ac:dyDescent="0.3">
      <c r="A183" s="19">
        <v>43974</v>
      </c>
      <c r="B183" s="20" t="s">
        <v>16</v>
      </c>
      <c r="C183" s="21">
        <v>89556</v>
      </c>
      <c r="D183" s="29">
        <v>7173117</v>
      </c>
      <c r="E183" s="5" cm="1">
        <f t="array" ref="E183">INDEX(Лист2!$C:$C,MATCH(1,(Лист2!$A:$A=A183)*(Лист2!$B:$B=B183),0))</f>
        <v>36</v>
      </c>
      <c r="F183" s="30" cm="1">
        <f t="array" ref="F183">INDEX(Лист2!$D:$D,MATCH(1,(Лист2!$A:$A=A183)*(Лист2!$B:$B=B183),0))</f>
        <v>5651</v>
      </c>
      <c r="G183" s="5" cm="1">
        <f t="array" ref="G183">INDEX(Лист2!$E:$E,MATCH(1,(Лист2!$A:$A=A183)*(Лист2!$B:$B=B183),0))</f>
        <v>5212</v>
      </c>
      <c r="H183" s="9">
        <f t="shared" si="4"/>
        <v>199253.25</v>
      </c>
      <c r="I183">
        <f t="shared" si="5"/>
        <v>21</v>
      </c>
    </row>
    <row r="184" spans="1:9" ht="14.25" customHeight="1" x14ac:dyDescent="0.3">
      <c r="A184" s="15">
        <v>43979</v>
      </c>
      <c r="B184" s="16" t="s">
        <v>15</v>
      </c>
      <c r="C184" s="17">
        <v>364638</v>
      </c>
      <c r="D184" s="18">
        <v>37947688.5</v>
      </c>
      <c r="E184" s="5" cm="1">
        <f t="array" ref="E184">INDEX(Лист2!$C:$C,MATCH(1,(Лист2!$A:$A=A184)*(Лист2!$B:$B=B184),0))</f>
        <v>124</v>
      </c>
      <c r="F184" s="30" cm="1">
        <f t="array" ref="F184">INDEX(Лист2!$D:$D,MATCH(1,(Лист2!$A:$A=A184)*(Лист2!$B:$B=B184),0))</f>
        <v>20868</v>
      </c>
      <c r="G184" s="5" cm="1">
        <f t="array" ref="G184">INDEX(Лист2!$E:$E,MATCH(1,(Лист2!$A:$A=A184)*(Лист2!$B:$B=B184),0))</f>
        <v>19342</v>
      </c>
      <c r="H184" s="9">
        <f t="shared" si="4"/>
        <v>306029.74596774194</v>
      </c>
      <c r="I184">
        <f t="shared" si="5"/>
        <v>22</v>
      </c>
    </row>
    <row r="185" spans="1:9" ht="14.25" hidden="1" customHeight="1" x14ac:dyDescent="0.3">
      <c r="A185" s="19">
        <v>43976</v>
      </c>
      <c r="B185" s="20" t="s">
        <v>16</v>
      </c>
      <c r="C185" s="21">
        <v>66316.5</v>
      </c>
      <c r="D185" s="29">
        <v>5704650</v>
      </c>
      <c r="E185" s="5" cm="1">
        <f t="array" ref="E185">INDEX(Лист2!$C:$C,MATCH(1,(Лист2!$A:$A=A185)*(Лист2!$B:$B=B185),0))</f>
        <v>36</v>
      </c>
      <c r="F185" s="30" cm="1">
        <f t="array" ref="F185">INDEX(Лист2!$D:$D,MATCH(1,(Лист2!$A:$A=A185)*(Лист2!$B:$B=B185),0))</f>
        <v>4641</v>
      </c>
      <c r="G185" s="5" cm="1">
        <f t="array" ref="G185">INDEX(Лист2!$E:$E,MATCH(1,(Лист2!$A:$A=A185)*(Лист2!$B:$B=B185),0))</f>
        <v>4274</v>
      </c>
      <c r="H185" s="9">
        <f t="shared" si="4"/>
        <v>158462.5</v>
      </c>
      <c r="I185">
        <f t="shared" si="5"/>
        <v>22</v>
      </c>
    </row>
    <row r="186" spans="1:9" ht="14.25" hidden="1" customHeight="1" x14ac:dyDescent="0.3">
      <c r="A186" s="15">
        <v>43951</v>
      </c>
      <c r="B186" s="16" t="s">
        <v>16</v>
      </c>
      <c r="C186" s="17">
        <v>78235.5</v>
      </c>
      <c r="D186" s="28">
        <v>6819594</v>
      </c>
      <c r="E186" s="5" cm="1">
        <f t="array" ref="E186">INDEX(Лист2!$C:$C,MATCH(1,(Лист2!$A:$A=A186)*(Лист2!$B:$B=B186),0))</f>
        <v>36</v>
      </c>
      <c r="F186" s="30" cm="1">
        <f t="array" ref="F186">INDEX(Лист2!$D:$D,MATCH(1,(Лист2!$A:$A=A186)*(Лист2!$B:$B=B186),0))</f>
        <v>5143</v>
      </c>
      <c r="G186" s="5" cm="1">
        <f t="array" ref="G186">INDEX(Лист2!$E:$E,MATCH(1,(Лист2!$A:$A=A186)*(Лист2!$B:$B=B186),0))</f>
        <v>4715</v>
      </c>
      <c r="H186" s="9">
        <f t="shared" si="4"/>
        <v>189433.16666666666</v>
      </c>
      <c r="I186">
        <f t="shared" si="5"/>
        <v>18</v>
      </c>
    </row>
    <row r="187" spans="1:9" ht="14.25" hidden="1" customHeight="1" x14ac:dyDescent="0.3">
      <c r="A187" s="19">
        <v>43961</v>
      </c>
      <c r="B187" s="20" t="s">
        <v>16</v>
      </c>
      <c r="C187" s="21">
        <v>88311</v>
      </c>
      <c r="D187" s="29">
        <v>7726069.5</v>
      </c>
      <c r="E187" s="5" cm="1">
        <f t="array" ref="E187">INDEX(Лист2!$C:$C,MATCH(1,(Лист2!$A:$A=A187)*(Лист2!$B:$B=B187),0))</f>
        <v>36</v>
      </c>
      <c r="F187" s="30" cm="1">
        <f t="array" ref="F187">INDEX(Лист2!$D:$D,MATCH(1,(Лист2!$A:$A=A187)*(Лист2!$B:$B=B187),0))</f>
        <v>5746</v>
      </c>
      <c r="G187" s="5" cm="1">
        <f t="array" ref="G187">INDEX(Лист2!$E:$E,MATCH(1,(Лист2!$A:$A=A187)*(Лист2!$B:$B=B187),0))</f>
        <v>5277</v>
      </c>
      <c r="H187" s="9">
        <f t="shared" si="4"/>
        <v>214613.04166666666</v>
      </c>
      <c r="I187">
        <f t="shared" si="5"/>
        <v>19</v>
      </c>
    </row>
    <row r="188" spans="1:9" ht="14.25" hidden="1" customHeight="1" x14ac:dyDescent="0.3">
      <c r="A188" s="15">
        <v>43959</v>
      </c>
      <c r="B188" s="16" t="s">
        <v>16</v>
      </c>
      <c r="C188" s="17">
        <v>61804.5</v>
      </c>
      <c r="D188" s="28">
        <v>5365708.5</v>
      </c>
      <c r="E188" s="5" cm="1">
        <f t="array" ref="E188">INDEX(Лист2!$C:$C,MATCH(1,(Лист2!$A:$A=A188)*(Лист2!$B:$B=B188),0))</f>
        <v>36</v>
      </c>
      <c r="F188" s="30" cm="1">
        <f t="array" ref="F188">INDEX(Лист2!$D:$D,MATCH(1,(Лист2!$A:$A=A188)*(Лист2!$B:$B=B188),0))</f>
        <v>4199</v>
      </c>
      <c r="G188" s="5" cm="1">
        <f t="array" ref="G188">INDEX(Лист2!$E:$E,MATCH(1,(Лист2!$A:$A=A188)*(Лист2!$B:$B=B188),0))</f>
        <v>3867</v>
      </c>
      <c r="H188" s="9">
        <f t="shared" si="4"/>
        <v>149047.45833333334</v>
      </c>
      <c r="I188">
        <f t="shared" si="5"/>
        <v>19</v>
      </c>
    </row>
    <row r="189" spans="1:9" ht="14.25" hidden="1" customHeight="1" x14ac:dyDescent="0.3">
      <c r="A189" s="19">
        <v>43958</v>
      </c>
      <c r="B189" s="20" t="s">
        <v>16</v>
      </c>
      <c r="C189" s="21">
        <v>71067</v>
      </c>
      <c r="D189" s="29">
        <v>6175837.5</v>
      </c>
      <c r="E189" s="5" cm="1">
        <f t="array" ref="E189">INDEX(Лист2!$C:$C,MATCH(1,(Лист2!$A:$A=A189)*(Лист2!$B:$B=B189),0))</f>
        <v>36</v>
      </c>
      <c r="F189" s="30" cm="1">
        <f t="array" ref="F189">INDEX(Лист2!$D:$D,MATCH(1,(Лист2!$A:$A=A189)*(Лист2!$B:$B=B189),0))</f>
        <v>4826</v>
      </c>
      <c r="G189" s="5" cm="1">
        <f t="array" ref="G189">INDEX(Лист2!$E:$E,MATCH(1,(Лист2!$A:$A=A189)*(Лист2!$B:$B=B189),0))</f>
        <v>4426</v>
      </c>
      <c r="H189" s="9">
        <f t="shared" si="4"/>
        <v>171551.04166666666</v>
      </c>
      <c r="I189">
        <f t="shared" si="5"/>
        <v>19</v>
      </c>
    </row>
    <row r="190" spans="1:9" ht="14.25" hidden="1" customHeight="1" x14ac:dyDescent="0.3">
      <c r="A190" s="15">
        <v>43975</v>
      </c>
      <c r="B190" s="16" t="s">
        <v>16</v>
      </c>
      <c r="C190" s="17">
        <v>74649</v>
      </c>
      <c r="D190" s="28">
        <v>6098236.5</v>
      </c>
      <c r="E190" s="5" cm="1">
        <f t="array" ref="E190">INDEX(Лист2!$C:$C,MATCH(1,(Лист2!$A:$A=A190)*(Лист2!$B:$B=B190),0))</f>
        <v>36</v>
      </c>
      <c r="F190" s="30" cm="1">
        <f t="array" ref="F190">INDEX(Лист2!$D:$D,MATCH(1,(Лист2!$A:$A=A190)*(Лист2!$B:$B=B190),0))</f>
        <v>4915</v>
      </c>
      <c r="G190" s="5" cm="1">
        <f t="array" ref="G190">INDEX(Лист2!$E:$E,MATCH(1,(Лист2!$A:$A=A190)*(Лист2!$B:$B=B190),0))</f>
        <v>4562</v>
      </c>
      <c r="H190" s="9">
        <f t="shared" si="4"/>
        <v>169395.45833333334</v>
      </c>
      <c r="I190">
        <f t="shared" si="5"/>
        <v>21</v>
      </c>
    </row>
    <row r="191" spans="1:9" ht="14.25" hidden="1" customHeight="1" x14ac:dyDescent="0.3">
      <c r="A191" s="19">
        <v>43967</v>
      </c>
      <c r="B191" s="20" t="s">
        <v>17</v>
      </c>
      <c r="C191" s="21">
        <v>44560.5</v>
      </c>
      <c r="D191" s="22">
        <v>4025148</v>
      </c>
      <c r="E191" s="5" cm="1">
        <f t="array" ref="E191">INDEX(Лист2!$C:$C,MATCH(1,(Лист2!$A:$A=A191)*(Лист2!$B:$B=B191),0))</f>
        <v>21</v>
      </c>
      <c r="F191" s="30" cm="1">
        <f t="array" ref="F191">INDEX(Лист2!$D:$D,MATCH(1,(Лист2!$A:$A=A191)*(Лист2!$B:$B=B191),0))</f>
        <v>2427</v>
      </c>
      <c r="G191" s="5" cm="1">
        <f t="array" ref="G191">INDEX(Лист2!$E:$E,MATCH(1,(Лист2!$A:$A=A191)*(Лист2!$B:$B=B191),0))</f>
        <v>2213</v>
      </c>
      <c r="H191" s="9">
        <f t="shared" si="4"/>
        <v>191673.71428571429</v>
      </c>
      <c r="I191">
        <f t="shared" si="5"/>
        <v>20</v>
      </c>
    </row>
    <row r="192" spans="1:9" ht="14.25" hidden="1" customHeight="1" x14ac:dyDescent="0.3">
      <c r="A192" s="15">
        <v>43970</v>
      </c>
      <c r="B192" s="16" t="s">
        <v>17</v>
      </c>
      <c r="C192" s="17">
        <v>38250</v>
      </c>
      <c r="D192" s="18">
        <v>3552937.5</v>
      </c>
      <c r="E192" s="5" cm="1">
        <f t="array" ref="E192">INDEX(Лист2!$C:$C,MATCH(1,(Лист2!$A:$A=A192)*(Лист2!$B:$B=B192),0))</f>
        <v>21</v>
      </c>
      <c r="F192" s="30" cm="1">
        <f t="array" ref="F192">INDEX(Лист2!$D:$D,MATCH(1,(Лист2!$A:$A=A192)*(Лист2!$B:$B=B192),0))</f>
        <v>2245</v>
      </c>
      <c r="G192" s="5" cm="1">
        <f t="array" ref="G192">INDEX(Лист2!$E:$E,MATCH(1,(Лист2!$A:$A=A192)*(Лист2!$B:$B=B192),0))</f>
        <v>2053</v>
      </c>
      <c r="H192" s="9">
        <f t="shared" si="4"/>
        <v>169187.5</v>
      </c>
      <c r="I192">
        <f t="shared" si="5"/>
        <v>21</v>
      </c>
    </row>
    <row r="193" spans="1:9" ht="14.25" hidden="1" customHeight="1" x14ac:dyDescent="0.3">
      <c r="A193" s="19">
        <v>43968</v>
      </c>
      <c r="B193" s="20" t="s">
        <v>17</v>
      </c>
      <c r="C193" s="21">
        <v>34830</v>
      </c>
      <c r="D193" s="22">
        <v>3191155.5</v>
      </c>
      <c r="E193" s="5" cm="1">
        <f t="array" ref="E193">INDEX(Лист2!$C:$C,MATCH(1,(Лист2!$A:$A=A193)*(Лист2!$B:$B=B193),0))</f>
        <v>21</v>
      </c>
      <c r="F193" s="30" cm="1">
        <f t="array" ref="F193">INDEX(Лист2!$D:$D,MATCH(1,(Лист2!$A:$A=A193)*(Лист2!$B:$B=B193),0))</f>
        <v>2054</v>
      </c>
      <c r="G193" s="5" cm="1">
        <f t="array" ref="G193">INDEX(Лист2!$E:$E,MATCH(1,(Лист2!$A:$A=A193)*(Лист2!$B:$B=B193),0))</f>
        <v>1883</v>
      </c>
      <c r="H193" s="9">
        <f t="shared" si="4"/>
        <v>151959.78571428571</v>
      </c>
      <c r="I193">
        <f t="shared" si="5"/>
        <v>20</v>
      </c>
    </row>
    <row r="194" spans="1:9" ht="14.25" hidden="1" customHeight="1" x14ac:dyDescent="0.3">
      <c r="A194" s="15">
        <v>43960</v>
      </c>
      <c r="B194" s="16" t="s">
        <v>17</v>
      </c>
      <c r="C194" s="17">
        <v>32239.5</v>
      </c>
      <c r="D194" s="18">
        <v>3084892.5</v>
      </c>
      <c r="E194" s="5" cm="1">
        <f t="array" ref="E194">INDEX(Лист2!$C:$C,MATCH(1,(Лист2!$A:$A=A194)*(Лист2!$B:$B=B194),0))</f>
        <v>21</v>
      </c>
      <c r="F194" s="30" cm="1">
        <f t="array" ref="F194">INDEX(Лист2!$D:$D,MATCH(1,(Лист2!$A:$A=A194)*(Лист2!$B:$B=B194),0))</f>
        <v>1891</v>
      </c>
      <c r="G194" s="5" cm="1">
        <f t="array" ref="G194">INDEX(Лист2!$E:$E,MATCH(1,(Лист2!$A:$A=A194)*(Лист2!$B:$B=B194),0))</f>
        <v>1709</v>
      </c>
      <c r="H194" s="9">
        <f t="shared" si="4"/>
        <v>146899.64285714287</v>
      </c>
      <c r="I194">
        <f t="shared" si="5"/>
        <v>19</v>
      </c>
    </row>
    <row r="195" spans="1:9" ht="14.25" hidden="1" customHeight="1" x14ac:dyDescent="0.3">
      <c r="A195" s="19">
        <v>43955</v>
      </c>
      <c r="B195" s="20" t="s">
        <v>17</v>
      </c>
      <c r="C195" s="21">
        <v>30780</v>
      </c>
      <c r="D195" s="22">
        <v>2817853.5</v>
      </c>
      <c r="E195" s="5" cm="1">
        <f t="array" ref="E195">INDEX(Лист2!$C:$C,MATCH(1,(Лист2!$A:$A=A195)*(Лист2!$B:$B=B195),0))</f>
        <v>20</v>
      </c>
      <c r="F195" s="30" cm="1">
        <f t="array" ref="F195">INDEX(Лист2!$D:$D,MATCH(1,(Лист2!$A:$A=A195)*(Лист2!$B:$B=B195),0))</f>
        <v>1804</v>
      </c>
      <c r="G195" s="5" cm="1">
        <f t="array" ref="G195">INDEX(Лист2!$E:$E,MATCH(1,(Лист2!$A:$A=A195)*(Лист2!$B:$B=B195),0))</f>
        <v>1638</v>
      </c>
      <c r="H195" s="9">
        <f t="shared" ref="H195:H258" si="6">D195/E195</f>
        <v>140892.67499999999</v>
      </c>
      <c r="I195">
        <f t="shared" ref="I195:I258" si="7">WEEKNUM(A195,2)</f>
        <v>19</v>
      </c>
    </row>
    <row r="196" spans="1:9" ht="14.25" hidden="1" customHeight="1" x14ac:dyDescent="0.3">
      <c r="A196" s="15">
        <v>43950</v>
      </c>
      <c r="B196" s="16" t="s">
        <v>17</v>
      </c>
      <c r="C196" s="17">
        <v>29142</v>
      </c>
      <c r="D196" s="18">
        <v>2627595</v>
      </c>
      <c r="E196" s="5" cm="1">
        <f t="array" ref="E196">INDEX(Лист2!$C:$C,MATCH(1,(Лист2!$A:$A=A196)*(Лист2!$B:$B=B196),0))</f>
        <v>19</v>
      </c>
      <c r="F196" s="30" cm="1">
        <f t="array" ref="F196">INDEX(Лист2!$D:$D,MATCH(1,(Лист2!$A:$A=A196)*(Лист2!$B:$B=B196),0))</f>
        <v>1676</v>
      </c>
      <c r="G196" s="5" cm="1">
        <f t="array" ref="G196">INDEX(Лист2!$E:$E,MATCH(1,(Лист2!$A:$A=A196)*(Лист2!$B:$B=B196),0))</f>
        <v>1516</v>
      </c>
      <c r="H196" s="9">
        <f t="shared" si="6"/>
        <v>138294.47368421053</v>
      </c>
      <c r="I196">
        <f t="shared" si="7"/>
        <v>18</v>
      </c>
    </row>
    <row r="197" spans="1:9" ht="14.25" hidden="1" customHeight="1" x14ac:dyDescent="0.3">
      <c r="A197" s="19">
        <v>43953</v>
      </c>
      <c r="B197" s="20" t="s">
        <v>17</v>
      </c>
      <c r="C197" s="21">
        <v>26428.5</v>
      </c>
      <c r="D197" s="22">
        <v>2470465.5</v>
      </c>
      <c r="E197" s="5" cm="1">
        <f t="array" ref="E197">INDEX(Лист2!$C:$C,MATCH(1,(Лист2!$A:$A=A197)*(Лист2!$B:$B=B197),0))</f>
        <v>20</v>
      </c>
      <c r="F197" s="30" cm="1">
        <f t="array" ref="F197">INDEX(Лист2!$D:$D,MATCH(1,(Лист2!$A:$A=A197)*(Лист2!$B:$B=B197),0))</f>
        <v>1613</v>
      </c>
      <c r="G197" s="5" cm="1">
        <f t="array" ref="G197">INDEX(Лист2!$E:$E,MATCH(1,(Лист2!$A:$A=A197)*(Лист2!$B:$B=B197),0))</f>
        <v>1457</v>
      </c>
      <c r="H197" s="9">
        <f t="shared" si="6"/>
        <v>123523.27499999999</v>
      </c>
      <c r="I197">
        <f t="shared" si="7"/>
        <v>18</v>
      </c>
    </row>
    <row r="198" spans="1:9" ht="14.25" hidden="1" customHeight="1" x14ac:dyDescent="0.3">
      <c r="A198" s="15">
        <v>43977</v>
      </c>
      <c r="B198" s="16" t="s">
        <v>17</v>
      </c>
      <c r="C198" s="17">
        <v>40744.5</v>
      </c>
      <c r="D198" s="18">
        <v>3700311</v>
      </c>
      <c r="E198" s="5" cm="1">
        <f t="array" ref="E198">INDEX(Лист2!$C:$C,MATCH(1,(Лист2!$A:$A=A198)*(Лист2!$B:$B=B198),0))</f>
        <v>21</v>
      </c>
      <c r="F198" s="30" cm="1">
        <f t="array" ref="F198">INDEX(Лист2!$D:$D,MATCH(1,(Лист2!$A:$A=A198)*(Лист2!$B:$B=B198),0))</f>
        <v>2418</v>
      </c>
      <c r="G198" s="5" cm="1">
        <f t="array" ref="G198">INDEX(Лист2!$E:$E,MATCH(1,(Лист2!$A:$A=A198)*(Лист2!$B:$B=B198),0))</f>
        <v>2215</v>
      </c>
      <c r="H198" s="9">
        <f t="shared" si="6"/>
        <v>176205.28571428571</v>
      </c>
      <c r="I198">
        <f t="shared" si="7"/>
        <v>22</v>
      </c>
    </row>
    <row r="199" spans="1:9" ht="14.25" hidden="1" customHeight="1" x14ac:dyDescent="0.3">
      <c r="A199" s="19">
        <v>43952</v>
      </c>
      <c r="B199" s="20" t="s">
        <v>17</v>
      </c>
      <c r="C199" s="21">
        <v>46620</v>
      </c>
      <c r="D199" s="22">
        <v>4293241.5</v>
      </c>
      <c r="E199" s="5" cm="1">
        <f t="array" ref="E199">INDEX(Лист2!$C:$C,MATCH(1,(Лист2!$A:$A=A199)*(Лист2!$B:$B=B199),0))</f>
        <v>20</v>
      </c>
      <c r="F199" s="30" cm="1">
        <f t="array" ref="F199">INDEX(Лист2!$D:$D,MATCH(1,(Лист2!$A:$A=A199)*(Лист2!$B:$B=B199),0))</f>
        <v>2468</v>
      </c>
      <c r="G199" s="5" cm="1">
        <f t="array" ref="G199">INDEX(Лист2!$E:$E,MATCH(1,(Лист2!$A:$A=A199)*(Лист2!$B:$B=B199),0))</f>
        <v>2221</v>
      </c>
      <c r="H199" s="9">
        <f t="shared" si="6"/>
        <v>214662.07500000001</v>
      </c>
      <c r="I199">
        <f t="shared" si="7"/>
        <v>18</v>
      </c>
    </row>
    <row r="200" spans="1:9" ht="14.25" hidden="1" customHeight="1" x14ac:dyDescent="0.3">
      <c r="A200" s="15">
        <v>43963</v>
      </c>
      <c r="B200" s="16" t="s">
        <v>17</v>
      </c>
      <c r="C200" s="17">
        <v>32419.5</v>
      </c>
      <c r="D200" s="18">
        <v>3080614.5</v>
      </c>
      <c r="E200" s="5" cm="1">
        <f t="array" ref="E200">INDEX(Лист2!$C:$C,MATCH(1,(Лист2!$A:$A=A200)*(Лист2!$B:$B=B200),0))</f>
        <v>21</v>
      </c>
      <c r="F200" s="30" cm="1">
        <f t="array" ref="F200">INDEX(Лист2!$D:$D,MATCH(1,(Лист2!$A:$A=A200)*(Лист2!$B:$B=B200),0))</f>
        <v>1926</v>
      </c>
      <c r="G200" s="5" cm="1">
        <f t="array" ref="G200">INDEX(Лист2!$E:$E,MATCH(1,(Лист2!$A:$A=A200)*(Лист2!$B:$B=B200),0))</f>
        <v>1745</v>
      </c>
      <c r="H200" s="9">
        <f t="shared" si="6"/>
        <v>146695.92857142858</v>
      </c>
      <c r="I200">
        <f t="shared" si="7"/>
        <v>20</v>
      </c>
    </row>
    <row r="201" spans="1:9" ht="14.25" hidden="1" customHeight="1" x14ac:dyDescent="0.3">
      <c r="A201" s="19">
        <v>43972</v>
      </c>
      <c r="B201" s="20" t="s">
        <v>17</v>
      </c>
      <c r="C201" s="21">
        <v>40819.5</v>
      </c>
      <c r="D201" s="22">
        <v>3810394.5</v>
      </c>
      <c r="E201" s="5" cm="1">
        <f t="array" ref="E201">INDEX(Лист2!$C:$C,MATCH(1,(Лист2!$A:$A=A201)*(Лист2!$B:$B=B201),0))</f>
        <v>21</v>
      </c>
      <c r="F201" s="30" cm="1">
        <f t="array" ref="F201">INDEX(Лист2!$D:$D,MATCH(1,(Лист2!$A:$A=A201)*(Лист2!$B:$B=B201),0))</f>
        <v>2335</v>
      </c>
      <c r="G201" s="5" cm="1">
        <f t="array" ref="G201">INDEX(Лист2!$E:$E,MATCH(1,(Лист2!$A:$A=A201)*(Лист2!$B:$B=B201),0))</f>
        <v>2126</v>
      </c>
      <c r="H201" s="9">
        <f t="shared" si="6"/>
        <v>181447.35714285713</v>
      </c>
      <c r="I201">
        <f t="shared" si="7"/>
        <v>21</v>
      </c>
    </row>
    <row r="202" spans="1:9" ht="14.25" hidden="1" customHeight="1" x14ac:dyDescent="0.3">
      <c r="A202" s="15">
        <v>43971</v>
      </c>
      <c r="B202" s="16" t="s">
        <v>17</v>
      </c>
      <c r="C202" s="17">
        <v>41391</v>
      </c>
      <c r="D202" s="18">
        <v>3918987</v>
      </c>
      <c r="E202" s="5" cm="1">
        <f t="array" ref="E202">INDEX(Лист2!$C:$C,MATCH(1,(Лист2!$A:$A=A202)*(Лист2!$B:$B=B202),0))</f>
        <v>21</v>
      </c>
      <c r="F202" s="30" cm="1">
        <f t="array" ref="F202">INDEX(Лист2!$D:$D,MATCH(1,(Лист2!$A:$A=A202)*(Лист2!$B:$B=B202),0))</f>
        <v>2410</v>
      </c>
      <c r="G202" s="5" cm="1">
        <f t="array" ref="G202">INDEX(Лист2!$E:$E,MATCH(1,(Лист2!$A:$A=A202)*(Лист2!$B:$B=B202),0))</f>
        <v>2202</v>
      </c>
      <c r="H202" s="9">
        <f t="shared" si="6"/>
        <v>186618.42857142858</v>
      </c>
      <c r="I202">
        <f t="shared" si="7"/>
        <v>21</v>
      </c>
    </row>
    <row r="203" spans="1:9" ht="14.25" hidden="1" customHeight="1" x14ac:dyDescent="0.3">
      <c r="A203" s="19">
        <v>43956</v>
      </c>
      <c r="B203" s="20" t="s">
        <v>17</v>
      </c>
      <c r="C203" s="21">
        <v>29482.5</v>
      </c>
      <c r="D203" s="22">
        <v>2648688</v>
      </c>
      <c r="E203" s="5" cm="1">
        <f t="array" ref="E203">INDEX(Лист2!$C:$C,MATCH(1,(Лист2!$A:$A=A203)*(Лист2!$B:$B=B203),0))</f>
        <v>20</v>
      </c>
      <c r="F203" s="30" cm="1">
        <f t="array" ref="F203">INDEX(Лист2!$D:$D,MATCH(1,(Лист2!$A:$A=A203)*(Лист2!$B:$B=B203),0))</f>
        <v>1757</v>
      </c>
      <c r="G203" s="5" cm="1">
        <f t="array" ref="G203">INDEX(Лист2!$E:$E,MATCH(1,(Лист2!$A:$A=A203)*(Лист2!$B:$B=B203),0))</f>
        <v>1596</v>
      </c>
      <c r="H203" s="9">
        <f t="shared" si="6"/>
        <v>132434.4</v>
      </c>
      <c r="I203">
        <f t="shared" si="7"/>
        <v>19</v>
      </c>
    </row>
    <row r="204" spans="1:9" ht="14.25" hidden="1" customHeight="1" x14ac:dyDescent="0.3">
      <c r="A204" s="15">
        <v>43949</v>
      </c>
      <c r="B204" s="16" t="s">
        <v>17</v>
      </c>
      <c r="C204" s="17">
        <v>32181</v>
      </c>
      <c r="D204" s="18">
        <v>2863600.5</v>
      </c>
      <c r="E204" s="5" cm="1">
        <f t="array" ref="E204">INDEX(Лист2!$C:$C,MATCH(1,(Лист2!$A:$A=A204)*(Лист2!$B:$B=B204),0))</f>
        <v>19</v>
      </c>
      <c r="F204" s="30" cm="1">
        <f t="array" ref="F204">INDEX(Лист2!$D:$D,MATCH(1,(Лист2!$A:$A=A204)*(Лист2!$B:$B=B204),0))</f>
        <v>1846</v>
      </c>
      <c r="G204" s="5" cm="1">
        <f t="array" ref="G204">INDEX(Лист2!$E:$E,MATCH(1,(Лист2!$A:$A=A204)*(Лист2!$B:$B=B204),0))</f>
        <v>1681</v>
      </c>
      <c r="H204" s="9">
        <f t="shared" si="6"/>
        <v>150715.81578947368</v>
      </c>
      <c r="I204">
        <f t="shared" si="7"/>
        <v>18</v>
      </c>
    </row>
    <row r="205" spans="1:9" ht="14.25" hidden="1" customHeight="1" x14ac:dyDescent="0.3">
      <c r="A205" s="19">
        <v>43964</v>
      </c>
      <c r="B205" s="20" t="s">
        <v>17</v>
      </c>
      <c r="C205" s="21">
        <v>35535</v>
      </c>
      <c r="D205" s="22">
        <v>3288069</v>
      </c>
      <c r="E205" s="5" cm="1">
        <f t="array" ref="E205">INDEX(Лист2!$C:$C,MATCH(1,(Лист2!$A:$A=A205)*(Лист2!$B:$B=B205),0))</f>
        <v>21</v>
      </c>
      <c r="F205" s="30" cm="1">
        <f t="array" ref="F205">INDEX(Лист2!$D:$D,MATCH(1,(Лист2!$A:$A=A205)*(Лист2!$B:$B=B205),0))</f>
        <v>2061</v>
      </c>
      <c r="G205" s="5" cm="1">
        <f t="array" ref="G205">INDEX(Лист2!$E:$E,MATCH(1,(Лист2!$A:$A=A205)*(Лист2!$B:$B=B205),0))</f>
        <v>1876</v>
      </c>
      <c r="H205" s="9">
        <f t="shared" si="6"/>
        <v>156574.71428571429</v>
      </c>
      <c r="I205">
        <f t="shared" si="7"/>
        <v>20</v>
      </c>
    </row>
    <row r="206" spans="1:9" ht="14.25" hidden="1" customHeight="1" x14ac:dyDescent="0.3">
      <c r="A206" s="15">
        <v>43982</v>
      </c>
      <c r="B206" s="16" t="s">
        <v>16</v>
      </c>
      <c r="C206" s="17">
        <v>76234.5</v>
      </c>
      <c r="D206" s="28">
        <v>6500848.5</v>
      </c>
      <c r="E206" s="5" cm="1">
        <f t="array" ref="E206">INDEX(Лист2!$C:$C,MATCH(1,(Лист2!$A:$A=A206)*(Лист2!$B:$B=B206),0))</f>
        <v>37</v>
      </c>
      <c r="F206" s="30" cm="1">
        <f t="array" ref="F206">INDEX(Лист2!$D:$D,MATCH(1,(Лист2!$A:$A=A206)*(Лист2!$B:$B=B206),0))</f>
        <v>5215</v>
      </c>
      <c r="G206" s="5" cm="1">
        <f t="array" ref="G206">INDEX(Лист2!$E:$E,MATCH(1,(Лист2!$A:$A=A206)*(Лист2!$B:$B=B206),0))</f>
        <v>4848</v>
      </c>
      <c r="H206" s="9">
        <f t="shared" si="6"/>
        <v>175698.60810810811</v>
      </c>
      <c r="I206">
        <f t="shared" si="7"/>
        <v>22</v>
      </c>
    </row>
    <row r="207" spans="1:9" ht="14.25" hidden="1" customHeight="1" x14ac:dyDescent="0.3">
      <c r="A207" s="19">
        <v>43954</v>
      </c>
      <c r="B207" s="20" t="s">
        <v>17</v>
      </c>
      <c r="C207" s="21">
        <v>29935.5</v>
      </c>
      <c r="D207" s="22">
        <v>2720002.5</v>
      </c>
      <c r="E207" s="5" cm="1">
        <f t="array" ref="E207">INDEX(Лист2!$C:$C,MATCH(1,(Лист2!$A:$A=A207)*(Лист2!$B:$B=B207),0))</f>
        <v>20</v>
      </c>
      <c r="F207" s="30" cm="1">
        <f t="array" ref="F207">INDEX(Лист2!$D:$D,MATCH(1,(Лист2!$A:$A=A207)*(Лист2!$B:$B=B207),0))</f>
        <v>1716</v>
      </c>
      <c r="G207" s="5" cm="1">
        <f t="array" ref="G207">INDEX(Лист2!$E:$E,MATCH(1,(Лист2!$A:$A=A207)*(Лист2!$B:$B=B207),0))</f>
        <v>1561</v>
      </c>
      <c r="H207" s="9">
        <f t="shared" si="6"/>
        <v>136000.125</v>
      </c>
      <c r="I207">
        <f t="shared" si="7"/>
        <v>18</v>
      </c>
    </row>
    <row r="208" spans="1:9" ht="14.25" hidden="1" customHeight="1" x14ac:dyDescent="0.3">
      <c r="A208" s="15">
        <v>43981</v>
      </c>
      <c r="B208" s="16" t="s">
        <v>16</v>
      </c>
      <c r="C208" s="17">
        <v>106926</v>
      </c>
      <c r="D208" s="28">
        <v>9098386.5</v>
      </c>
      <c r="E208" s="5" cm="1">
        <f t="array" ref="E208">INDEX(Лист2!$C:$C,MATCH(1,(Лист2!$A:$A=A208)*(Лист2!$B:$B=B208),0))</f>
        <v>37</v>
      </c>
      <c r="F208" s="30" cm="1">
        <f t="array" ref="F208">INDEX(Лист2!$D:$D,MATCH(1,(Лист2!$A:$A=A208)*(Лист2!$B:$B=B208),0))</f>
        <v>6645</v>
      </c>
      <c r="G208" s="5" cm="1">
        <f t="array" ref="G208">INDEX(Лист2!$E:$E,MATCH(1,(Лист2!$A:$A=A208)*(Лист2!$B:$B=B208),0))</f>
        <v>6122</v>
      </c>
      <c r="H208" s="9">
        <f t="shared" si="6"/>
        <v>245902.33783783784</v>
      </c>
      <c r="I208">
        <f t="shared" si="7"/>
        <v>22</v>
      </c>
    </row>
    <row r="209" spans="1:9" ht="14.25" hidden="1" customHeight="1" x14ac:dyDescent="0.3">
      <c r="A209" s="19">
        <v>43957</v>
      </c>
      <c r="B209" s="20" t="s">
        <v>17</v>
      </c>
      <c r="C209" s="21">
        <v>30342</v>
      </c>
      <c r="D209" s="22">
        <v>2738127</v>
      </c>
      <c r="E209" s="5" cm="1">
        <f t="array" ref="E209">INDEX(Лист2!$C:$C,MATCH(1,(Лист2!$A:$A=A209)*(Лист2!$B:$B=B209),0))</f>
        <v>20</v>
      </c>
      <c r="F209" s="30" cm="1">
        <f t="array" ref="F209">INDEX(Лист2!$D:$D,MATCH(1,(Лист2!$A:$A=A209)*(Лист2!$B:$B=B209),0))</f>
        <v>1747</v>
      </c>
      <c r="G209" s="5" cm="1">
        <f t="array" ref="G209">INDEX(Лист2!$E:$E,MATCH(1,(Лист2!$A:$A=A209)*(Лист2!$B:$B=B209),0))</f>
        <v>1570</v>
      </c>
      <c r="H209" s="9">
        <f t="shared" si="6"/>
        <v>136906.35</v>
      </c>
      <c r="I209">
        <f t="shared" si="7"/>
        <v>19</v>
      </c>
    </row>
    <row r="210" spans="1:9" ht="14.25" hidden="1" customHeight="1" x14ac:dyDescent="0.3">
      <c r="A210" s="15">
        <v>43974</v>
      </c>
      <c r="B210" s="16" t="s">
        <v>17</v>
      </c>
      <c r="C210" s="17">
        <v>42999</v>
      </c>
      <c r="D210" s="18">
        <v>3883215</v>
      </c>
      <c r="E210" s="5" cm="1">
        <f t="array" ref="E210">INDEX(Лист2!$C:$C,MATCH(1,(Лист2!$A:$A=A210)*(Лист2!$B:$B=B210),0))</f>
        <v>21</v>
      </c>
      <c r="F210" s="30" cm="1">
        <f t="array" ref="F210">INDEX(Лист2!$D:$D,MATCH(1,(Лист2!$A:$A=A210)*(Лист2!$B:$B=B210),0))</f>
        <v>2460</v>
      </c>
      <c r="G210" s="5" cm="1">
        <f t="array" ref="G210">INDEX(Лист2!$E:$E,MATCH(1,(Лист2!$A:$A=A210)*(Лист2!$B:$B=B210),0))</f>
        <v>2226</v>
      </c>
      <c r="H210" s="9">
        <f t="shared" si="6"/>
        <v>184915</v>
      </c>
      <c r="I210">
        <f t="shared" si="7"/>
        <v>21</v>
      </c>
    </row>
    <row r="211" spans="1:9" ht="14.25" hidden="1" customHeight="1" x14ac:dyDescent="0.3">
      <c r="A211" s="19">
        <v>43979</v>
      </c>
      <c r="B211" s="20" t="s">
        <v>16</v>
      </c>
      <c r="C211" s="21">
        <v>69945</v>
      </c>
      <c r="D211" s="29">
        <v>6101931</v>
      </c>
      <c r="E211" s="5" cm="1">
        <f t="array" ref="E211">INDEX(Лист2!$C:$C,MATCH(1,(Лист2!$A:$A=A211)*(Лист2!$B:$B=B211),0))</f>
        <v>37</v>
      </c>
      <c r="F211" s="30" cm="1">
        <f t="array" ref="F211">INDEX(Лист2!$D:$D,MATCH(1,(Лист2!$A:$A=A211)*(Лист2!$B:$B=B211),0))</f>
        <v>4840</v>
      </c>
      <c r="G211" s="5" cm="1">
        <f t="array" ref="G211">INDEX(Лист2!$E:$E,MATCH(1,(Лист2!$A:$A=A211)*(Лист2!$B:$B=B211),0))</f>
        <v>4475</v>
      </c>
      <c r="H211" s="9">
        <f t="shared" si="6"/>
        <v>164917.05405405405</v>
      </c>
      <c r="I211">
        <f t="shared" si="7"/>
        <v>22</v>
      </c>
    </row>
    <row r="212" spans="1:9" ht="14.25" hidden="1" customHeight="1" x14ac:dyDescent="0.3">
      <c r="A212" s="15">
        <v>43976</v>
      </c>
      <c r="B212" s="16" t="s">
        <v>17</v>
      </c>
      <c r="C212" s="17">
        <v>38740.5</v>
      </c>
      <c r="D212" s="18">
        <v>3561655.5</v>
      </c>
      <c r="E212" s="5" cm="1">
        <f t="array" ref="E212">INDEX(Лист2!$C:$C,MATCH(1,(Лист2!$A:$A=A212)*(Лист2!$B:$B=B212),0))</f>
        <v>21</v>
      </c>
      <c r="F212" s="30" cm="1">
        <f t="array" ref="F212">INDEX(Лист2!$D:$D,MATCH(1,(Лист2!$A:$A=A212)*(Лист2!$B:$B=B212),0))</f>
        <v>2330</v>
      </c>
      <c r="G212" s="5" cm="1">
        <f t="array" ref="G212">INDEX(Лист2!$E:$E,MATCH(1,(Лист2!$A:$A=A212)*(Лист2!$B:$B=B212),0))</f>
        <v>2142</v>
      </c>
      <c r="H212" s="9">
        <f t="shared" si="6"/>
        <v>169602.64285714287</v>
      </c>
      <c r="I212">
        <f t="shared" si="7"/>
        <v>22</v>
      </c>
    </row>
    <row r="213" spans="1:9" ht="14.25" hidden="1" customHeight="1" x14ac:dyDescent="0.3">
      <c r="A213" s="19">
        <v>43951</v>
      </c>
      <c r="B213" s="20" t="s">
        <v>17</v>
      </c>
      <c r="C213" s="21">
        <v>31231.5</v>
      </c>
      <c r="D213" s="22">
        <v>2853310.5</v>
      </c>
      <c r="E213" s="5" cm="1">
        <f t="array" ref="E213">INDEX(Лист2!$C:$C,MATCH(1,(Лист2!$A:$A=A213)*(Лист2!$B:$B=B213),0))</f>
        <v>20</v>
      </c>
      <c r="F213" s="30" cm="1">
        <f t="array" ref="F213">INDEX(Лист2!$D:$D,MATCH(1,(Лист2!$A:$A=A213)*(Лист2!$B:$B=B213),0))</f>
        <v>1756</v>
      </c>
      <c r="G213" s="5" cm="1">
        <f t="array" ref="G213">INDEX(Лист2!$E:$E,MATCH(1,(Лист2!$A:$A=A213)*(Лист2!$B:$B=B213),0))</f>
        <v>1586</v>
      </c>
      <c r="H213" s="9">
        <f t="shared" si="6"/>
        <v>142665.52499999999</v>
      </c>
      <c r="I213">
        <f t="shared" si="7"/>
        <v>18</v>
      </c>
    </row>
    <row r="214" spans="1:9" ht="14.25" hidden="1" customHeight="1" x14ac:dyDescent="0.3">
      <c r="A214" s="15">
        <v>43961</v>
      </c>
      <c r="B214" s="16" t="s">
        <v>17</v>
      </c>
      <c r="C214" s="17">
        <v>37489.5</v>
      </c>
      <c r="D214" s="18">
        <v>3549097.5</v>
      </c>
      <c r="E214" s="5" cm="1">
        <f t="array" ref="E214">INDEX(Лист2!$C:$C,MATCH(1,(Лист2!$A:$A=A214)*(Лист2!$B:$B=B214),0))</f>
        <v>21</v>
      </c>
      <c r="F214" s="30" cm="1">
        <f t="array" ref="F214">INDEX(Лист2!$D:$D,MATCH(1,(Лист2!$A:$A=A214)*(Лист2!$B:$B=B214),0))</f>
        <v>2120</v>
      </c>
      <c r="G214" s="5" cm="1">
        <f t="array" ref="G214">INDEX(Лист2!$E:$E,MATCH(1,(Лист2!$A:$A=A214)*(Лист2!$B:$B=B214),0))</f>
        <v>1921</v>
      </c>
      <c r="H214" s="9">
        <f t="shared" si="6"/>
        <v>169004.64285714287</v>
      </c>
      <c r="I214">
        <f t="shared" si="7"/>
        <v>19</v>
      </c>
    </row>
    <row r="215" spans="1:9" ht="14.25" hidden="1" customHeight="1" x14ac:dyDescent="0.3">
      <c r="A215" s="19">
        <v>43959</v>
      </c>
      <c r="B215" s="20" t="s">
        <v>17</v>
      </c>
      <c r="C215" s="21">
        <v>34399.5</v>
      </c>
      <c r="D215" s="22">
        <v>3201358.5</v>
      </c>
      <c r="E215" s="5" cm="1">
        <f t="array" ref="E215">INDEX(Лист2!$C:$C,MATCH(1,(Лист2!$A:$A=A215)*(Лист2!$B:$B=B215),0))</f>
        <v>21</v>
      </c>
      <c r="F215" s="30" cm="1">
        <f t="array" ref="F215">INDEX(Лист2!$D:$D,MATCH(1,(Лист2!$A:$A=A215)*(Лист2!$B:$B=B215),0))</f>
        <v>1957</v>
      </c>
      <c r="G215" s="5" cm="1">
        <f t="array" ref="G215">INDEX(Лист2!$E:$E,MATCH(1,(Лист2!$A:$A=A215)*(Лист2!$B:$B=B215),0))</f>
        <v>1755</v>
      </c>
      <c r="H215" s="9">
        <f t="shared" si="6"/>
        <v>152445.64285714287</v>
      </c>
      <c r="I215">
        <f t="shared" si="7"/>
        <v>19</v>
      </c>
    </row>
    <row r="216" spans="1:9" ht="14.25" hidden="1" customHeight="1" x14ac:dyDescent="0.3">
      <c r="A216" s="15">
        <v>43958</v>
      </c>
      <c r="B216" s="16" t="s">
        <v>17</v>
      </c>
      <c r="C216" s="17">
        <v>32851.5</v>
      </c>
      <c r="D216" s="18">
        <v>2934504</v>
      </c>
      <c r="E216" s="5" cm="1">
        <f t="array" ref="E216">INDEX(Лист2!$C:$C,MATCH(1,(Лист2!$A:$A=A216)*(Лист2!$B:$B=B216),0))</f>
        <v>21</v>
      </c>
      <c r="F216" s="30" cm="1">
        <f t="array" ref="F216">INDEX(Лист2!$D:$D,MATCH(1,(Лист2!$A:$A=A216)*(Лист2!$B:$B=B216),0))</f>
        <v>1879</v>
      </c>
      <c r="G216" s="5" cm="1">
        <f t="array" ref="G216">INDEX(Лист2!$E:$E,MATCH(1,(Лист2!$A:$A=A216)*(Лист2!$B:$B=B216),0))</f>
        <v>1695</v>
      </c>
      <c r="H216" s="9">
        <f t="shared" si="6"/>
        <v>139738.28571428571</v>
      </c>
      <c r="I216">
        <f t="shared" si="7"/>
        <v>19</v>
      </c>
    </row>
    <row r="217" spans="1:9" ht="14.25" hidden="1" customHeight="1" x14ac:dyDescent="0.3">
      <c r="A217" s="19">
        <v>43975</v>
      </c>
      <c r="B217" s="20" t="s">
        <v>17</v>
      </c>
      <c r="C217" s="21">
        <v>38194.5</v>
      </c>
      <c r="D217" s="22">
        <v>3449302.5</v>
      </c>
      <c r="E217" s="5" cm="1">
        <f t="array" ref="E217">INDEX(Лист2!$C:$C,MATCH(1,(Лист2!$A:$A=A217)*(Лист2!$B:$B=B217),0))</f>
        <v>21</v>
      </c>
      <c r="F217" s="30" cm="1">
        <f t="array" ref="F217">INDEX(Лист2!$D:$D,MATCH(1,(Лист2!$A:$A=A217)*(Лист2!$B:$B=B217),0))</f>
        <v>2254</v>
      </c>
      <c r="G217" s="5" cm="1">
        <f t="array" ref="G217">INDEX(Лист2!$E:$E,MATCH(1,(Лист2!$A:$A=A217)*(Лист2!$B:$B=B217),0))</f>
        <v>2061</v>
      </c>
      <c r="H217" s="9">
        <f t="shared" si="6"/>
        <v>164252.5</v>
      </c>
      <c r="I217">
        <f t="shared" si="7"/>
        <v>21</v>
      </c>
    </row>
    <row r="218" spans="1:9" ht="14.25" hidden="1" customHeight="1" x14ac:dyDescent="0.3">
      <c r="A218" s="15">
        <v>43982</v>
      </c>
      <c r="B218" s="16" t="s">
        <v>17</v>
      </c>
      <c r="C218" s="17">
        <v>42423</v>
      </c>
      <c r="D218" s="18">
        <v>3994153.5</v>
      </c>
      <c r="E218" s="5" cm="1">
        <f t="array" ref="E218">INDEX(Лист2!$C:$C,MATCH(1,(Лист2!$A:$A=A218)*(Лист2!$B:$B=B218),0))</f>
        <v>23</v>
      </c>
      <c r="F218" s="30" cm="1">
        <f t="array" ref="F218">INDEX(Лист2!$D:$D,MATCH(1,(Лист2!$A:$A=A218)*(Лист2!$B:$B=B218),0))</f>
        <v>2522</v>
      </c>
      <c r="G218" s="5" cm="1">
        <f t="array" ref="G218">INDEX(Лист2!$E:$E,MATCH(1,(Лист2!$A:$A=A218)*(Лист2!$B:$B=B218),0))</f>
        <v>2295</v>
      </c>
      <c r="H218" s="9">
        <f t="shared" si="6"/>
        <v>173658.84782608695</v>
      </c>
      <c r="I218">
        <f t="shared" si="7"/>
        <v>22</v>
      </c>
    </row>
    <row r="219" spans="1:9" ht="14.25" hidden="1" customHeight="1" x14ac:dyDescent="0.3">
      <c r="A219" s="19">
        <v>43981</v>
      </c>
      <c r="B219" s="20" t="s">
        <v>17</v>
      </c>
      <c r="C219" s="21">
        <v>48286.5</v>
      </c>
      <c r="D219" s="22">
        <v>4456441.5</v>
      </c>
      <c r="E219" s="5" cm="1">
        <f t="array" ref="E219">INDEX(Лист2!$C:$C,MATCH(1,(Лист2!$A:$A=A219)*(Лист2!$B:$B=B219),0))</f>
        <v>22</v>
      </c>
      <c r="F219" s="30" cm="1">
        <f t="array" ref="F219">INDEX(Лист2!$D:$D,MATCH(1,(Лист2!$A:$A=A219)*(Лист2!$B:$B=B219),0))</f>
        <v>2793</v>
      </c>
      <c r="G219" s="5" cm="1">
        <f t="array" ref="G219">INDEX(Лист2!$E:$E,MATCH(1,(Лист2!$A:$A=A219)*(Лист2!$B:$B=B219),0))</f>
        <v>2539</v>
      </c>
      <c r="H219" s="9">
        <f t="shared" si="6"/>
        <v>202565.52272727274</v>
      </c>
      <c r="I219">
        <f t="shared" si="7"/>
        <v>22</v>
      </c>
    </row>
    <row r="220" spans="1:9" ht="14.25" hidden="1" customHeight="1" x14ac:dyDescent="0.3">
      <c r="A220" s="15">
        <v>43979</v>
      </c>
      <c r="B220" s="16" t="s">
        <v>17</v>
      </c>
      <c r="C220" s="17">
        <v>41442</v>
      </c>
      <c r="D220" s="18">
        <v>3893680.5</v>
      </c>
      <c r="E220" s="5" cm="1">
        <f t="array" ref="E220">INDEX(Лист2!$C:$C,MATCH(1,(Лист2!$A:$A=A220)*(Лист2!$B:$B=B220),0))</f>
        <v>22</v>
      </c>
      <c r="F220" s="30" cm="1">
        <f t="array" ref="F220">INDEX(Лист2!$D:$D,MATCH(1,(Лист2!$A:$A=A220)*(Лист2!$B:$B=B220),0))</f>
        <v>2454</v>
      </c>
      <c r="G220" s="5" cm="1">
        <f t="array" ref="G220">INDEX(Лист2!$E:$E,MATCH(1,(Лист2!$A:$A=A220)*(Лист2!$B:$B=B220),0))</f>
        <v>2239</v>
      </c>
      <c r="H220" s="9">
        <f t="shared" si="6"/>
        <v>176985.47727272726</v>
      </c>
      <c r="I220">
        <f t="shared" si="7"/>
        <v>22</v>
      </c>
    </row>
    <row r="221" spans="1:9" ht="14.25" hidden="1" customHeight="1" x14ac:dyDescent="0.3">
      <c r="A221" s="19">
        <v>43967</v>
      </c>
      <c r="B221" s="20" t="s">
        <v>18</v>
      </c>
      <c r="C221" s="21">
        <v>18600</v>
      </c>
      <c r="D221" s="22">
        <v>1601425.5</v>
      </c>
      <c r="E221" s="5" cm="1">
        <f t="array" ref="E221">INDEX(Лист2!$C:$C,MATCH(1,(Лист2!$A:$A=A221)*(Лист2!$B:$B=B221),0))</f>
        <v>15</v>
      </c>
      <c r="F221" s="30" cm="1">
        <f t="array" ref="F221">INDEX(Лист2!$D:$D,MATCH(1,(Лист2!$A:$A=A221)*(Лист2!$B:$B=B221),0))</f>
        <v>1111</v>
      </c>
      <c r="G221" s="5" cm="1">
        <f t="array" ref="G221">INDEX(Лист2!$E:$E,MATCH(1,(Лист2!$A:$A=A221)*(Лист2!$B:$B=B221),0))</f>
        <v>992</v>
      </c>
      <c r="H221" s="9">
        <f t="shared" si="6"/>
        <v>106761.7</v>
      </c>
      <c r="I221">
        <f t="shared" si="7"/>
        <v>20</v>
      </c>
    </row>
    <row r="222" spans="1:9" ht="14.25" hidden="1" customHeight="1" x14ac:dyDescent="0.3">
      <c r="A222" s="15">
        <v>43970</v>
      </c>
      <c r="B222" s="16" t="s">
        <v>18</v>
      </c>
      <c r="C222" s="17">
        <v>16638</v>
      </c>
      <c r="D222" s="18">
        <v>1364847</v>
      </c>
      <c r="E222" s="5" cm="1">
        <f t="array" ref="E222">INDEX(Лист2!$C:$C,MATCH(1,(Лист2!$A:$A=A222)*(Лист2!$B:$B=B222),0))</f>
        <v>16</v>
      </c>
      <c r="F222" s="30" cm="1">
        <f t="array" ref="F222">INDEX(Лист2!$D:$D,MATCH(1,(Лист2!$A:$A=A222)*(Лист2!$B:$B=B222),0))</f>
        <v>1012</v>
      </c>
      <c r="G222" s="5" cm="1">
        <f t="array" ref="G222">INDEX(Лист2!$E:$E,MATCH(1,(Лист2!$A:$A=A222)*(Лист2!$B:$B=B222),0))</f>
        <v>900</v>
      </c>
      <c r="H222" s="9">
        <f t="shared" si="6"/>
        <v>85302.9375</v>
      </c>
      <c r="I222">
        <f t="shared" si="7"/>
        <v>21</v>
      </c>
    </row>
    <row r="223" spans="1:9" ht="14.25" hidden="1" customHeight="1" x14ac:dyDescent="0.3">
      <c r="A223" s="19">
        <v>43968</v>
      </c>
      <c r="B223" s="20" t="s">
        <v>18</v>
      </c>
      <c r="C223" s="21">
        <v>15609</v>
      </c>
      <c r="D223" s="22">
        <v>1377577.5</v>
      </c>
      <c r="E223" s="5" cm="1">
        <f t="array" ref="E223">INDEX(Лист2!$C:$C,MATCH(1,(Лист2!$A:$A=A223)*(Лист2!$B:$B=B223),0))</f>
        <v>15</v>
      </c>
      <c r="F223" s="30" cm="1">
        <f t="array" ref="F223">INDEX(Лист2!$D:$D,MATCH(1,(Лист2!$A:$A=A223)*(Лист2!$B:$B=B223),0))</f>
        <v>971</v>
      </c>
      <c r="G223" s="5" cm="1">
        <f t="array" ref="G223">INDEX(Лист2!$E:$E,MATCH(1,(Лист2!$A:$A=A223)*(Лист2!$B:$B=B223),0))</f>
        <v>856</v>
      </c>
      <c r="H223" s="9">
        <f t="shared" si="6"/>
        <v>91838.5</v>
      </c>
      <c r="I223">
        <f t="shared" si="7"/>
        <v>20</v>
      </c>
    </row>
    <row r="224" spans="1:9" ht="14.25" hidden="1" customHeight="1" x14ac:dyDescent="0.3">
      <c r="A224" s="15">
        <v>43960</v>
      </c>
      <c r="B224" s="16" t="s">
        <v>18</v>
      </c>
      <c r="C224" s="17">
        <v>13948.5</v>
      </c>
      <c r="D224" s="18">
        <v>1222932</v>
      </c>
      <c r="E224" s="5" cm="1">
        <f t="array" ref="E224">INDEX(Лист2!$C:$C,MATCH(1,(Лист2!$A:$A=A224)*(Лист2!$B:$B=B224),0))</f>
        <v>15</v>
      </c>
      <c r="F224" s="30" cm="1">
        <f t="array" ref="F224">INDEX(Лист2!$D:$D,MATCH(1,(Лист2!$A:$A=A224)*(Лист2!$B:$B=B224),0))</f>
        <v>849</v>
      </c>
      <c r="G224" s="5" cm="1">
        <f t="array" ref="G224">INDEX(Лист2!$E:$E,MATCH(1,(Лист2!$A:$A=A224)*(Лист2!$B:$B=B224),0))</f>
        <v>740</v>
      </c>
      <c r="H224" s="9">
        <f t="shared" si="6"/>
        <v>81528.800000000003</v>
      </c>
      <c r="I224">
        <f t="shared" si="7"/>
        <v>19</v>
      </c>
    </row>
    <row r="225" spans="1:9" ht="14.25" hidden="1" customHeight="1" x14ac:dyDescent="0.3">
      <c r="A225" s="19">
        <v>43955</v>
      </c>
      <c r="B225" s="20" t="s">
        <v>18</v>
      </c>
      <c r="C225" s="21">
        <v>12301.5</v>
      </c>
      <c r="D225" s="22">
        <v>1085211</v>
      </c>
      <c r="E225" s="5" cm="1">
        <f t="array" ref="E225">INDEX(Лист2!$C:$C,MATCH(1,(Лист2!$A:$A=A225)*(Лист2!$B:$B=B225),0))</f>
        <v>15</v>
      </c>
      <c r="F225" s="30" cm="1">
        <f t="array" ref="F225">INDEX(Лист2!$D:$D,MATCH(1,(Лист2!$A:$A=A225)*(Лист2!$B:$B=B225),0))</f>
        <v>750</v>
      </c>
      <c r="G225" s="5" cm="1">
        <f t="array" ref="G225">INDEX(Лист2!$E:$E,MATCH(1,(Лист2!$A:$A=A225)*(Лист2!$B:$B=B225),0))</f>
        <v>647</v>
      </c>
      <c r="H225" s="9">
        <f t="shared" si="6"/>
        <v>72347.399999999994</v>
      </c>
      <c r="I225">
        <f t="shared" si="7"/>
        <v>19</v>
      </c>
    </row>
    <row r="226" spans="1:9" ht="14.25" hidden="1" customHeight="1" x14ac:dyDescent="0.3">
      <c r="A226" s="15">
        <v>43950</v>
      </c>
      <c r="B226" s="16" t="s">
        <v>18</v>
      </c>
      <c r="C226" s="17">
        <v>13014</v>
      </c>
      <c r="D226" s="18">
        <v>1115992.5</v>
      </c>
      <c r="E226" s="5" cm="1">
        <f t="array" ref="E226">INDEX(Лист2!$C:$C,MATCH(1,(Лист2!$A:$A=A226)*(Лист2!$B:$B=B226),0))</f>
        <v>15</v>
      </c>
      <c r="F226" s="30" cm="1">
        <f t="array" ref="F226">INDEX(Лист2!$D:$D,MATCH(1,(Лист2!$A:$A=A226)*(Лист2!$B:$B=B226),0))</f>
        <v>786</v>
      </c>
      <c r="G226" s="5" cm="1">
        <f t="array" ref="G226">INDEX(Лист2!$E:$E,MATCH(1,(Лист2!$A:$A=A226)*(Лист2!$B:$B=B226),0))</f>
        <v>695</v>
      </c>
      <c r="H226" s="9">
        <f t="shared" si="6"/>
        <v>74399.5</v>
      </c>
      <c r="I226">
        <f t="shared" si="7"/>
        <v>18</v>
      </c>
    </row>
    <row r="227" spans="1:9" ht="14.25" hidden="1" customHeight="1" x14ac:dyDescent="0.3">
      <c r="A227" s="19">
        <v>43953</v>
      </c>
      <c r="B227" s="20" t="s">
        <v>18</v>
      </c>
      <c r="C227" s="21">
        <v>12313.5</v>
      </c>
      <c r="D227" s="22">
        <v>1053220.5</v>
      </c>
      <c r="E227" s="5" cm="1">
        <f t="array" ref="E227">INDEX(Лист2!$C:$C,MATCH(1,(Лист2!$A:$A=A227)*(Лист2!$B:$B=B227),0))</f>
        <v>15</v>
      </c>
      <c r="F227" s="30" cm="1">
        <f t="array" ref="F227">INDEX(Лист2!$D:$D,MATCH(1,(Лист2!$A:$A=A227)*(Лист2!$B:$B=B227),0))</f>
        <v>751</v>
      </c>
      <c r="G227" s="5" cm="1">
        <f t="array" ref="G227">INDEX(Лист2!$E:$E,MATCH(1,(Лист2!$A:$A=A227)*(Лист2!$B:$B=B227),0))</f>
        <v>651</v>
      </c>
      <c r="H227" s="9">
        <f t="shared" si="6"/>
        <v>70214.7</v>
      </c>
      <c r="I227">
        <f t="shared" si="7"/>
        <v>18</v>
      </c>
    </row>
    <row r="228" spans="1:9" ht="14.25" hidden="1" customHeight="1" x14ac:dyDescent="0.3">
      <c r="A228" s="15">
        <v>43977</v>
      </c>
      <c r="B228" s="16" t="s">
        <v>18</v>
      </c>
      <c r="C228" s="17">
        <v>17391</v>
      </c>
      <c r="D228" s="18">
        <v>1489132.5</v>
      </c>
      <c r="E228" s="5" cm="1">
        <f t="array" ref="E228">INDEX(Лист2!$C:$C,MATCH(1,(Лист2!$A:$A=A228)*(Лист2!$B:$B=B228),0))</f>
        <v>17</v>
      </c>
      <c r="F228" s="30" cm="1">
        <f t="array" ref="F228">INDEX(Лист2!$D:$D,MATCH(1,(Лист2!$A:$A=A228)*(Лист2!$B:$B=B228),0))</f>
        <v>1140</v>
      </c>
      <c r="G228" s="5" cm="1">
        <f t="array" ref="G228">INDEX(Лист2!$E:$E,MATCH(1,(Лист2!$A:$A=A228)*(Лист2!$B:$B=B228),0))</f>
        <v>1016</v>
      </c>
      <c r="H228" s="9">
        <f t="shared" si="6"/>
        <v>87596.029411764699</v>
      </c>
      <c r="I228">
        <f t="shared" si="7"/>
        <v>22</v>
      </c>
    </row>
    <row r="229" spans="1:9" ht="14.25" hidden="1" customHeight="1" x14ac:dyDescent="0.3">
      <c r="A229" s="19">
        <v>43952</v>
      </c>
      <c r="B229" s="20" t="s">
        <v>18</v>
      </c>
      <c r="C229" s="21">
        <v>17113.5</v>
      </c>
      <c r="D229" s="22">
        <v>1465842</v>
      </c>
      <c r="E229" s="5" cm="1">
        <f t="array" ref="E229">INDEX(Лист2!$C:$C,MATCH(1,(Лист2!$A:$A=A229)*(Лист2!$B:$B=B229),0))</f>
        <v>15</v>
      </c>
      <c r="F229" s="30" cm="1">
        <f t="array" ref="F229">INDEX(Лист2!$D:$D,MATCH(1,(Лист2!$A:$A=A229)*(Лист2!$B:$B=B229),0))</f>
        <v>996</v>
      </c>
      <c r="G229" s="5" cm="1">
        <f t="array" ref="G229">INDEX(Лист2!$E:$E,MATCH(1,(Лист2!$A:$A=A229)*(Лист2!$B:$B=B229),0))</f>
        <v>888</v>
      </c>
      <c r="H229" s="9">
        <f t="shared" si="6"/>
        <v>97722.8</v>
      </c>
      <c r="I229">
        <f t="shared" si="7"/>
        <v>18</v>
      </c>
    </row>
    <row r="230" spans="1:9" ht="14.25" hidden="1" customHeight="1" x14ac:dyDescent="0.3">
      <c r="A230" s="15">
        <v>43963</v>
      </c>
      <c r="B230" s="16" t="s">
        <v>18</v>
      </c>
      <c r="C230" s="17">
        <v>12802.5</v>
      </c>
      <c r="D230" s="18">
        <v>1123830</v>
      </c>
      <c r="E230" s="5" cm="1">
        <f t="array" ref="E230">INDEX(Лист2!$C:$C,MATCH(1,(Лист2!$A:$A=A230)*(Лист2!$B:$B=B230),0))</f>
        <v>15</v>
      </c>
      <c r="F230" s="30" cm="1">
        <f t="array" ref="F230">INDEX(Лист2!$D:$D,MATCH(1,(Лист2!$A:$A=A230)*(Лист2!$B:$B=B230),0))</f>
        <v>845</v>
      </c>
      <c r="G230" s="5" cm="1">
        <f t="array" ref="G230">INDEX(Лист2!$E:$E,MATCH(1,(Лист2!$A:$A=A230)*(Лист2!$B:$B=B230),0))</f>
        <v>743</v>
      </c>
      <c r="H230" s="9">
        <f t="shared" si="6"/>
        <v>74922</v>
      </c>
      <c r="I230">
        <f t="shared" si="7"/>
        <v>20</v>
      </c>
    </row>
    <row r="231" spans="1:9" ht="14.25" hidden="1" customHeight="1" x14ac:dyDescent="0.3">
      <c r="A231" s="19">
        <v>43972</v>
      </c>
      <c r="B231" s="20" t="s">
        <v>18</v>
      </c>
      <c r="C231" s="21">
        <v>16554</v>
      </c>
      <c r="D231" s="22">
        <v>1380751.5</v>
      </c>
      <c r="E231" s="5" cm="1">
        <f t="array" ref="E231">INDEX(Лист2!$C:$C,MATCH(1,(Лист2!$A:$A=A231)*(Лист2!$B:$B=B231),0))</f>
        <v>17</v>
      </c>
      <c r="F231" s="30" cm="1">
        <f t="array" ref="F231">INDEX(Лист2!$D:$D,MATCH(1,(Лист2!$A:$A=A231)*(Лист2!$B:$B=B231),0))</f>
        <v>1045</v>
      </c>
      <c r="G231" s="5" cm="1">
        <f t="array" ref="G231">INDEX(Лист2!$E:$E,MATCH(1,(Лист2!$A:$A=A231)*(Лист2!$B:$B=B231),0))</f>
        <v>930</v>
      </c>
      <c r="H231" s="9">
        <f t="shared" si="6"/>
        <v>81220.676470588238</v>
      </c>
      <c r="I231">
        <f t="shared" si="7"/>
        <v>21</v>
      </c>
    </row>
    <row r="232" spans="1:9" ht="14.25" hidden="1" customHeight="1" x14ac:dyDescent="0.3">
      <c r="A232" s="15">
        <v>43971</v>
      </c>
      <c r="B232" s="16" t="s">
        <v>18</v>
      </c>
      <c r="C232" s="17">
        <v>17329.5</v>
      </c>
      <c r="D232" s="18">
        <v>1430254.5</v>
      </c>
      <c r="E232" s="5" cm="1">
        <f t="array" ref="E232">INDEX(Лист2!$C:$C,MATCH(1,(Лист2!$A:$A=A232)*(Лист2!$B:$B=B232),0))</f>
        <v>16</v>
      </c>
      <c r="F232" s="30" cm="1">
        <f t="array" ref="F232">INDEX(Лист2!$D:$D,MATCH(1,(Лист2!$A:$A=A232)*(Лист2!$B:$B=B232),0))</f>
        <v>1050</v>
      </c>
      <c r="G232" s="5" cm="1">
        <f t="array" ref="G232">INDEX(Лист2!$E:$E,MATCH(1,(Лист2!$A:$A=A232)*(Лист2!$B:$B=B232),0))</f>
        <v>938</v>
      </c>
      <c r="H232" s="9">
        <f t="shared" si="6"/>
        <v>89390.90625</v>
      </c>
      <c r="I232">
        <f t="shared" si="7"/>
        <v>21</v>
      </c>
    </row>
    <row r="233" spans="1:9" ht="14.25" hidden="1" customHeight="1" x14ac:dyDescent="0.3">
      <c r="A233" s="19">
        <v>43956</v>
      </c>
      <c r="B233" s="20" t="s">
        <v>18</v>
      </c>
      <c r="C233" s="21">
        <v>15987</v>
      </c>
      <c r="D233" s="22">
        <v>1384179</v>
      </c>
      <c r="E233" s="5" cm="1">
        <f t="array" ref="E233">INDEX(Лист2!$C:$C,MATCH(1,(Лист2!$A:$A=A233)*(Лист2!$B:$B=B233),0))</f>
        <v>15</v>
      </c>
      <c r="F233" s="30" cm="1">
        <f t="array" ref="F233">INDEX(Лист2!$D:$D,MATCH(1,(Лист2!$A:$A=A233)*(Лист2!$B:$B=B233),0))</f>
        <v>922</v>
      </c>
      <c r="G233" s="5" cm="1">
        <f t="array" ref="G233">INDEX(Лист2!$E:$E,MATCH(1,(Лист2!$A:$A=A233)*(Лист2!$B:$B=B233),0))</f>
        <v>823</v>
      </c>
      <c r="H233" s="9">
        <f t="shared" si="6"/>
        <v>92278.6</v>
      </c>
      <c r="I233">
        <f t="shared" si="7"/>
        <v>19</v>
      </c>
    </row>
    <row r="234" spans="1:9" ht="14.25" hidden="1" customHeight="1" x14ac:dyDescent="0.3">
      <c r="A234" s="15">
        <v>43949</v>
      </c>
      <c r="B234" s="16" t="s">
        <v>18</v>
      </c>
      <c r="C234" s="17">
        <v>13303.5</v>
      </c>
      <c r="D234" s="18">
        <v>1102887</v>
      </c>
      <c r="E234" s="5" cm="1">
        <f t="array" ref="E234">INDEX(Лист2!$C:$C,MATCH(1,(Лист2!$A:$A=A234)*(Лист2!$B:$B=B234),0))</f>
        <v>15</v>
      </c>
      <c r="F234" s="30" cm="1">
        <f t="array" ref="F234">INDEX(Лист2!$D:$D,MATCH(1,(Лист2!$A:$A=A234)*(Лист2!$B:$B=B234),0))</f>
        <v>780</v>
      </c>
      <c r="G234" s="5" cm="1">
        <f t="array" ref="G234">INDEX(Лист2!$E:$E,MATCH(1,(Лист2!$A:$A=A234)*(Лист2!$B:$B=B234),0))</f>
        <v>690</v>
      </c>
      <c r="H234" s="9">
        <f t="shared" si="6"/>
        <v>73525.8</v>
      </c>
      <c r="I234">
        <f t="shared" si="7"/>
        <v>18</v>
      </c>
    </row>
    <row r="235" spans="1:9" ht="14.25" hidden="1" customHeight="1" x14ac:dyDescent="0.3">
      <c r="A235" s="19">
        <v>43964</v>
      </c>
      <c r="B235" s="20" t="s">
        <v>18</v>
      </c>
      <c r="C235" s="21">
        <v>14305.5</v>
      </c>
      <c r="D235" s="22">
        <v>1243507.5</v>
      </c>
      <c r="E235" s="5" cm="1">
        <f t="array" ref="E235">INDEX(Лист2!$C:$C,MATCH(1,(Лист2!$A:$A=A235)*(Лист2!$B:$B=B235),0))</f>
        <v>15</v>
      </c>
      <c r="F235" s="30" cm="1">
        <f t="array" ref="F235">INDEX(Лист2!$D:$D,MATCH(1,(Лист2!$A:$A=A235)*(Лист2!$B:$B=B235),0))</f>
        <v>898</v>
      </c>
      <c r="G235" s="5" cm="1">
        <f t="array" ref="G235">INDEX(Лист2!$E:$E,MATCH(1,(Лист2!$A:$A=A235)*(Лист2!$B:$B=B235),0))</f>
        <v>795</v>
      </c>
      <c r="H235" s="9">
        <f t="shared" si="6"/>
        <v>82900.5</v>
      </c>
      <c r="I235">
        <f t="shared" si="7"/>
        <v>20</v>
      </c>
    </row>
    <row r="236" spans="1:9" ht="14.25" hidden="1" customHeight="1" x14ac:dyDescent="0.3">
      <c r="A236" s="15">
        <v>43954</v>
      </c>
      <c r="B236" s="16" t="s">
        <v>18</v>
      </c>
      <c r="C236" s="17">
        <v>12924</v>
      </c>
      <c r="D236" s="18">
        <v>1120009.5</v>
      </c>
      <c r="E236" s="5" cm="1">
        <f t="array" ref="E236">INDEX(Лист2!$C:$C,MATCH(1,(Лист2!$A:$A=A236)*(Лист2!$B:$B=B236),0))</f>
        <v>15</v>
      </c>
      <c r="F236" s="30" cm="1">
        <f t="array" ref="F236">INDEX(Лист2!$D:$D,MATCH(1,(Лист2!$A:$A=A236)*(Лист2!$B:$B=B236),0))</f>
        <v>784</v>
      </c>
      <c r="G236" s="5" cm="1">
        <f t="array" ref="G236">INDEX(Лист2!$E:$E,MATCH(1,(Лист2!$A:$A=A236)*(Лист2!$B:$B=B236),0))</f>
        <v>696</v>
      </c>
      <c r="H236" s="9">
        <f t="shared" si="6"/>
        <v>74667.3</v>
      </c>
      <c r="I236">
        <f t="shared" si="7"/>
        <v>18</v>
      </c>
    </row>
    <row r="237" spans="1:9" ht="14.25" hidden="1" customHeight="1" x14ac:dyDescent="0.3">
      <c r="A237" s="19">
        <v>43957</v>
      </c>
      <c r="B237" s="20" t="s">
        <v>18</v>
      </c>
      <c r="C237" s="21">
        <v>14061</v>
      </c>
      <c r="D237" s="22">
        <v>1221057</v>
      </c>
      <c r="E237" s="5" cm="1">
        <f t="array" ref="E237">INDEX(Лист2!$C:$C,MATCH(1,(Лист2!$A:$A=A237)*(Лист2!$B:$B=B237),0))</f>
        <v>15</v>
      </c>
      <c r="F237" s="30" cm="1">
        <f t="array" ref="F237">INDEX(Лист2!$D:$D,MATCH(1,(Лист2!$A:$A=A237)*(Лист2!$B:$B=B237),0))</f>
        <v>839</v>
      </c>
      <c r="G237" s="5" cm="1">
        <f t="array" ref="G237">INDEX(Лист2!$E:$E,MATCH(1,(Лист2!$A:$A=A237)*(Лист2!$B:$B=B237),0))</f>
        <v>733</v>
      </c>
      <c r="H237" s="9">
        <f t="shared" si="6"/>
        <v>81403.8</v>
      </c>
      <c r="I237">
        <f t="shared" si="7"/>
        <v>19</v>
      </c>
    </row>
    <row r="238" spans="1:9" ht="14.25" hidden="1" customHeight="1" x14ac:dyDescent="0.3">
      <c r="A238" s="15">
        <v>43974</v>
      </c>
      <c r="B238" s="16" t="s">
        <v>18</v>
      </c>
      <c r="C238" s="17">
        <v>21958.5</v>
      </c>
      <c r="D238" s="18">
        <v>1854001.5</v>
      </c>
      <c r="E238" s="5" cm="1">
        <f t="array" ref="E238">INDEX(Лист2!$C:$C,MATCH(1,(Лист2!$A:$A=A238)*(Лист2!$B:$B=B238),0))</f>
        <v>17</v>
      </c>
      <c r="F238" s="30" cm="1">
        <f t="array" ref="F238">INDEX(Лист2!$D:$D,MATCH(1,(Лист2!$A:$A=A238)*(Лист2!$B:$B=B238),0))</f>
        <v>1294</v>
      </c>
      <c r="G238" s="5" cm="1">
        <f t="array" ref="G238">INDEX(Лист2!$E:$E,MATCH(1,(Лист2!$A:$A=A238)*(Лист2!$B:$B=B238),0))</f>
        <v>1155</v>
      </c>
      <c r="H238" s="9">
        <f t="shared" si="6"/>
        <v>109058.91176470589</v>
      </c>
      <c r="I238">
        <f t="shared" si="7"/>
        <v>21</v>
      </c>
    </row>
    <row r="239" spans="1:9" ht="14.25" hidden="1" customHeight="1" x14ac:dyDescent="0.3">
      <c r="A239" s="19">
        <v>43976</v>
      </c>
      <c r="B239" s="20" t="s">
        <v>18</v>
      </c>
      <c r="C239" s="21">
        <v>17211</v>
      </c>
      <c r="D239" s="22">
        <v>1507867.5</v>
      </c>
      <c r="E239" s="5" cm="1">
        <f t="array" ref="E239">INDEX(Лист2!$C:$C,MATCH(1,(Лист2!$A:$A=A239)*(Лист2!$B:$B=B239),0))</f>
        <v>17</v>
      </c>
      <c r="F239" s="30" cm="1">
        <f t="array" ref="F239">INDEX(Лист2!$D:$D,MATCH(1,(Лист2!$A:$A=A239)*(Лист2!$B:$B=B239),0))</f>
        <v>1142</v>
      </c>
      <c r="G239" s="5" cm="1">
        <f t="array" ref="G239">INDEX(Лист2!$E:$E,MATCH(1,(Лист2!$A:$A=A239)*(Лист2!$B:$B=B239),0))</f>
        <v>1020</v>
      </c>
      <c r="H239" s="9">
        <f t="shared" si="6"/>
        <v>88698.088235294112</v>
      </c>
      <c r="I239">
        <f t="shared" si="7"/>
        <v>22</v>
      </c>
    </row>
    <row r="240" spans="1:9" ht="14.25" hidden="1" customHeight="1" x14ac:dyDescent="0.3">
      <c r="A240" s="15">
        <v>43951</v>
      </c>
      <c r="B240" s="16" t="s">
        <v>18</v>
      </c>
      <c r="C240" s="17">
        <v>12753</v>
      </c>
      <c r="D240" s="18">
        <v>1103068.5</v>
      </c>
      <c r="E240" s="5" cm="1">
        <f t="array" ref="E240">INDEX(Лист2!$C:$C,MATCH(1,(Лист2!$A:$A=A240)*(Лист2!$B:$B=B240),0))</f>
        <v>15</v>
      </c>
      <c r="F240" s="30" cm="1">
        <f t="array" ref="F240">INDEX(Лист2!$D:$D,MATCH(1,(Лист2!$A:$A=A240)*(Лист2!$B:$B=B240),0))</f>
        <v>791</v>
      </c>
      <c r="G240" s="5" cm="1">
        <f t="array" ref="G240">INDEX(Лист2!$E:$E,MATCH(1,(Лист2!$A:$A=A240)*(Лист2!$B:$B=B240),0))</f>
        <v>691</v>
      </c>
      <c r="H240" s="9">
        <f t="shared" si="6"/>
        <v>73537.899999999994</v>
      </c>
      <c r="I240">
        <f t="shared" si="7"/>
        <v>18</v>
      </c>
    </row>
    <row r="241" spans="1:9" ht="14.25" hidden="1" customHeight="1" x14ac:dyDescent="0.3">
      <c r="A241" s="19">
        <v>43961</v>
      </c>
      <c r="B241" s="20" t="s">
        <v>18</v>
      </c>
      <c r="C241" s="21">
        <v>16435.5</v>
      </c>
      <c r="D241" s="22">
        <v>1471537.5</v>
      </c>
      <c r="E241" s="5" cm="1">
        <f t="array" ref="E241">INDEX(Лист2!$C:$C,MATCH(1,(Лист2!$A:$A=A241)*(Лист2!$B:$B=B241),0))</f>
        <v>15</v>
      </c>
      <c r="F241" s="30" cm="1">
        <f t="array" ref="F241">INDEX(Лист2!$D:$D,MATCH(1,(Лист2!$A:$A=A241)*(Лист2!$B:$B=B241),0))</f>
        <v>950</v>
      </c>
      <c r="G241" s="5" cm="1">
        <f t="array" ref="G241">INDEX(Лист2!$E:$E,MATCH(1,(Лист2!$A:$A=A241)*(Лист2!$B:$B=B241),0))</f>
        <v>848</v>
      </c>
      <c r="H241" s="9">
        <f t="shared" si="6"/>
        <v>98102.5</v>
      </c>
      <c r="I241">
        <f t="shared" si="7"/>
        <v>19</v>
      </c>
    </row>
    <row r="242" spans="1:9" ht="14.25" hidden="1" customHeight="1" x14ac:dyDescent="0.3">
      <c r="A242" s="15">
        <v>43959</v>
      </c>
      <c r="B242" s="16" t="s">
        <v>18</v>
      </c>
      <c r="C242" s="17">
        <v>14494.5</v>
      </c>
      <c r="D242" s="18">
        <v>1269786</v>
      </c>
      <c r="E242" s="5" cm="1">
        <f t="array" ref="E242">INDEX(Лист2!$C:$C,MATCH(1,(Лист2!$A:$A=A242)*(Лист2!$B:$B=B242),0))</f>
        <v>15</v>
      </c>
      <c r="F242" s="30" cm="1">
        <f t="array" ref="F242">INDEX(Лист2!$D:$D,MATCH(1,(Лист2!$A:$A=A242)*(Лист2!$B:$B=B242),0))</f>
        <v>879</v>
      </c>
      <c r="G242" s="5" cm="1">
        <f t="array" ref="G242">INDEX(Лист2!$E:$E,MATCH(1,(Лист2!$A:$A=A242)*(Лист2!$B:$B=B242),0))</f>
        <v>768</v>
      </c>
      <c r="H242" s="9">
        <f t="shared" si="6"/>
        <v>84652.4</v>
      </c>
      <c r="I242">
        <f t="shared" si="7"/>
        <v>19</v>
      </c>
    </row>
    <row r="243" spans="1:9" ht="14.25" hidden="1" customHeight="1" x14ac:dyDescent="0.3">
      <c r="A243" s="19">
        <v>43958</v>
      </c>
      <c r="B243" s="20" t="s">
        <v>18</v>
      </c>
      <c r="C243" s="21">
        <v>12705</v>
      </c>
      <c r="D243" s="22">
        <v>1123894.5</v>
      </c>
      <c r="E243" s="5" cm="1">
        <f t="array" ref="E243">INDEX(Лист2!$C:$C,MATCH(1,(Лист2!$A:$A=A243)*(Лист2!$B:$B=B243),0))</f>
        <v>15</v>
      </c>
      <c r="F243" s="30" cm="1">
        <f t="array" ref="F243">INDEX(Лист2!$D:$D,MATCH(1,(Лист2!$A:$A=A243)*(Лист2!$B:$B=B243),0))</f>
        <v>805</v>
      </c>
      <c r="G243" s="5" cm="1">
        <f t="array" ref="G243">INDEX(Лист2!$E:$E,MATCH(1,(Лист2!$A:$A=A243)*(Лист2!$B:$B=B243),0))</f>
        <v>703</v>
      </c>
      <c r="H243" s="9">
        <f t="shared" si="6"/>
        <v>74926.3</v>
      </c>
      <c r="I243">
        <f t="shared" si="7"/>
        <v>19</v>
      </c>
    </row>
    <row r="244" spans="1:9" ht="14.25" hidden="1" customHeight="1" x14ac:dyDescent="0.3">
      <c r="A244" s="15">
        <v>43975</v>
      </c>
      <c r="B244" s="16" t="s">
        <v>18</v>
      </c>
      <c r="C244" s="17">
        <v>18075</v>
      </c>
      <c r="D244" s="18">
        <v>1548099</v>
      </c>
      <c r="E244" s="5" cm="1">
        <f t="array" ref="E244">INDEX(Лист2!$C:$C,MATCH(1,(Лист2!$A:$A=A244)*(Лист2!$B:$B=B244),0))</f>
        <v>17</v>
      </c>
      <c r="F244" s="30" cm="1">
        <f t="array" ref="F244">INDEX(Лист2!$D:$D,MATCH(1,(Лист2!$A:$A=A244)*(Лист2!$B:$B=B244),0))</f>
        <v>1128</v>
      </c>
      <c r="G244" s="5" cm="1">
        <f t="array" ref="G244">INDEX(Лист2!$E:$E,MATCH(1,(Лист2!$A:$A=A244)*(Лист2!$B:$B=B244),0))</f>
        <v>1001</v>
      </c>
      <c r="H244" s="9">
        <f t="shared" si="6"/>
        <v>91064.647058823524</v>
      </c>
      <c r="I244">
        <f t="shared" si="7"/>
        <v>21</v>
      </c>
    </row>
    <row r="245" spans="1:9" ht="14.25" hidden="1" customHeight="1" x14ac:dyDescent="0.3">
      <c r="A245" s="19">
        <v>43967</v>
      </c>
      <c r="B245" s="20" t="s">
        <v>19</v>
      </c>
      <c r="C245" s="21">
        <v>13120.5</v>
      </c>
      <c r="D245" s="22">
        <v>1215033</v>
      </c>
      <c r="E245" s="5" cm="1">
        <f t="array" ref="E245">INDEX(Лист2!$C:$C,MATCH(1,(Лист2!$A:$A=A245)*(Лист2!$B:$B=B245),0))</f>
        <v>15</v>
      </c>
      <c r="F245" s="30" cm="1">
        <f t="array" ref="F245">INDEX(Лист2!$D:$D,MATCH(1,(Лист2!$A:$A=A245)*(Лист2!$B:$B=B245),0))</f>
        <v>747</v>
      </c>
      <c r="G245" s="5" cm="1">
        <f t="array" ref="G245">INDEX(Лист2!$E:$E,MATCH(1,(Лист2!$A:$A=A245)*(Лист2!$B:$B=B245),0))</f>
        <v>647</v>
      </c>
      <c r="H245" s="9">
        <f t="shared" si="6"/>
        <v>81002.2</v>
      </c>
      <c r="I245">
        <f t="shared" si="7"/>
        <v>20</v>
      </c>
    </row>
    <row r="246" spans="1:9" ht="14.25" hidden="1" customHeight="1" x14ac:dyDescent="0.3">
      <c r="A246" s="15">
        <v>43970</v>
      </c>
      <c r="B246" s="16" t="s">
        <v>19</v>
      </c>
      <c r="C246" s="17">
        <v>16237.5</v>
      </c>
      <c r="D246" s="18">
        <v>1403047.5</v>
      </c>
      <c r="E246" s="5" cm="1">
        <f t="array" ref="E246">INDEX(Лист2!$C:$C,MATCH(1,(Лист2!$A:$A=A246)*(Лист2!$B:$B=B246),0))</f>
        <v>15</v>
      </c>
      <c r="F246" s="30" cm="1">
        <f t="array" ref="F246">INDEX(Лист2!$D:$D,MATCH(1,(Лист2!$A:$A=A246)*(Лист2!$B:$B=B246),0))</f>
        <v>930</v>
      </c>
      <c r="G246" s="5" cm="1">
        <f t="array" ref="G246">INDEX(Лист2!$E:$E,MATCH(1,(Лист2!$A:$A=A246)*(Лист2!$B:$B=B246),0))</f>
        <v>827</v>
      </c>
      <c r="H246" s="9">
        <f t="shared" si="6"/>
        <v>93536.5</v>
      </c>
      <c r="I246">
        <f t="shared" si="7"/>
        <v>21</v>
      </c>
    </row>
    <row r="247" spans="1:9" ht="14.25" hidden="1" customHeight="1" x14ac:dyDescent="0.3">
      <c r="A247" s="19">
        <v>43968</v>
      </c>
      <c r="B247" s="20" t="s">
        <v>19</v>
      </c>
      <c r="C247" s="21">
        <v>11967</v>
      </c>
      <c r="D247" s="22">
        <v>1060489.5</v>
      </c>
      <c r="E247" s="5" cm="1">
        <f t="array" ref="E247">INDEX(Лист2!$C:$C,MATCH(1,(Лист2!$A:$A=A247)*(Лист2!$B:$B=B247),0))</f>
        <v>15</v>
      </c>
      <c r="F247" s="30" cm="1">
        <f t="array" ref="F247">INDEX(Лист2!$D:$D,MATCH(1,(Лист2!$A:$A=A247)*(Лист2!$B:$B=B247),0))</f>
        <v>692</v>
      </c>
      <c r="G247" s="5" cm="1">
        <f t="array" ref="G247">INDEX(Лист2!$E:$E,MATCH(1,(Лист2!$A:$A=A247)*(Лист2!$B:$B=B247),0))</f>
        <v>591</v>
      </c>
      <c r="H247" s="9">
        <f t="shared" si="6"/>
        <v>70699.3</v>
      </c>
      <c r="I247">
        <f t="shared" si="7"/>
        <v>20</v>
      </c>
    </row>
    <row r="248" spans="1:9" ht="14.25" hidden="1" customHeight="1" x14ac:dyDescent="0.3">
      <c r="A248" s="15">
        <v>43960</v>
      </c>
      <c r="B248" s="16" t="s">
        <v>19</v>
      </c>
      <c r="C248" s="17">
        <v>12037.5</v>
      </c>
      <c r="D248" s="18">
        <v>1081216.5</v>
      </c>
      <c r="E248" s="5" cm="1">
        <f t="array" ref="E248">INDEX(Лист2!$C:$C,MATCH(1,(Лист2!$A:$A=A248)*(Лист2!$B:$B=B248),0))</f>
        <v>15</v>
      </c>
      <c r="F248" s="30" cm="1">
        <f t="array" ref="F248">INDEX(Лист2!$D:$D,MATCH(1,(Лист2!$A:$A=A248)*(Лист2!$B:$B=B248),0))</f>
        <v>623</v>
      </c>
      <c r="G248" s="5" cm="1">
        <f t="array" ref="G248">INDEX(Лист2!$E:$E,MATCH(1,(Лист2!$A:$A=A248)*(Лист2!$B:$B=B248),0))</f>
        <v>535</v>
      </c>
      <c r="H248" s="9">
        <f t="shared" si="6"/>
        <v>72081.100000000006</v>
      </c>
      <c r="I248">
        <f t="shared" si="7"/>
        <v>19</v>
      </c>
    </row>
    <row r="249" spans="1:9" ht="14.25" hidden="1" customHeight="1" x14ac:dyDescent="0.3">
      <c r="A249" s="19">
        <v>43955</v>
      </c>
      <c r="B249" s="20" t="s">
        <v>19</v>
      </c>
      <c r="C249" s="21">
        <v>7087.5</v>
      </c>
      <c r="D249" s="22">
        <v>610855.5</v>
      </c>
      <c r="E249" s="5" cm="1">
        <f t="array" ref="E249">INDEX(Лист2!$C:$C,MATCH(1,(Лист2!$A:$A=A249)*(Лист2!$B:$B=B249),0))</f>
        <v>15</v>
      </c>
      <c r="F249" s="30" cm="1">
        <f t="array" ref="F249">INDEX(Лист2!$D:$D,MATCH(1,(Лист2!$A:$A=A249)*(Лист2!$B:$B=B249),0))</f>
        <v>390</v>
      </c>
      <c r="G249" s="5" cm="1">
        <f t="array" ref="G249">INDEX(Лист2!$E:$E,MATCH(1,(Лист2!$A:$A=A249)*(Лист2!$B:$B=B249),0))</f>
        <v>315</v>
      </c>
      <c r="H249" s="9">
        <f t="shared" si="6"/>
        <v>40723.699999999997</v>
      </c>
      <c r="I249">
        <f t="shared" si="7"/>
        <v>19</v>
      </c>
    </row>
    <row r="250" spans="1:9" ht="14.25" hidden="1" customHeight="1" x14ac:dyDescent="0.3">
      <c r="A250" s="15">
        <v>43950</v>
      </c>
      <c r="B250" s="16" t="s">
        <v>20</v>
      </c>
      <c r="C250" s="17">
        <v>25816.5</v>
      </c>
      <c r="D250" s="18">
        <v>2360914.5</v>
      </c>
      <c r="E250" s="5" cm="1">
        <f t="array" ref="E250">INDEX(Лист2!$C:$C,MATCH(1,(Лист2!$A:$A=A250)*(Лист2!$B:$B=B250),0))</f>
        <v>18</v>
      </c>
      <c r="F250" s="30" cm="1">
        <f t="array" ref="F250">INDEX(Лист2!$D:$D,MATCH(1,(Лист2!$A:$A=A250)*(Лист2!$B:$B=B250),0))</f>
        <v>1599</v>
      </c>
      <c r="G250" s="5" cm="1">
        <f t="array" ref="G250">INDEX(Лист2!$E:$E,MATCH(1,(Лист2!$A:$A=A250)*(Лист2!$B:$B=B250),0))</f>
        <v>1450</v>
      </c>
      <c r="H250" s="9">
        <f t="shared" si="6"/>
        <v>131161.91666666666</v>
      </c>
      <c r="I250">
        <f t="shared" si="7"/>
        <v>18</v>
      </c>
    </row>
    <row r="251" spans="1:9" ht="14.25" hidden="1" customHeight="1" x14ac:dyDescent="0.3">
      <c r="A251" s="19">
        <v>43953</v>
      </c>
      <c r="B251" s="20" t="s">
        <v>19</v>
      </c>
      <c r="C251" s="21">
        <v>4624.5</v>
      </c>
      <c r="D251" s="22">
        <v>433243.5</v>
      </c>
      <c r="E251" s="5" cm="1">
        <f t="array" ref="E251">INDEX(Лист2!$C:$C,MATCH(1,(Лист2!$A:$A=A251)*(Лист2!$B:$B=B251),0))</f>
        <v>15</v>
      </c>
      <c r="F251" s="30" cm="1">
        <f t="array" ref="F251">INDEX(Лист2!$D:$D,MATCH(1,(Лист2!$A:$A=A251)*(Лист2!$B:$B=B251),0))</f>
        <v>274</v>
      </c>
      <c r="G251" s="5" cm="1">
        <f t="array" ref="G251">INDEX(Лист2!$E:$E,MATCH(1,(Лист2!$A:$A=A251)*(Лист2!$B:$B=B251),0))</f>
        <v>203</v>
      </c>
      <c r="H251" s="9">
        <f t="shared" si="6"/>
        <v>28882.9</v>
      </c>
      <c r="I251">
        <f t="shared" si="7"/>
        <v>18</v>
      </c>
    </row>
    <row r="252" spans="1:9" ht="14.25" hidden="1" customHeight="1" x14ac:dyDescent="0.3">
      <c r="A252" s="15">
        <v>43977</v>
      </c>
      <c r="B252" s="16" t="s">
        <v>19</v>
      </c>
      <c r="C252" s="17">
        <v>12259.5</v>
      </c>
      <c r="D252" s="18">
        <v>1152054</v>
      </c>
      <c r="E252" s="5" cm="1">
        <f t="array" ref="E252">INDEX(Лист2!$C:$C,MATCH(1,(Лист2!$A:$A=A252)*(Лист2!$B:$B=B252),0))</f>
        <v>15</v>
      </c>
      <c r="F252" s="30" cm="1">
        <f t="array" ref="F252">INDEX(Лист2!$D:$D,MATCH(1,(Лист2!$A:$A=A252)*(Лист2!$B:$B=B252),0))</f>
        <v>812</v>
      </c>
      <c r="G252" s="5" cm="1">
        <f t="array" ref="G252">INDEX(Лист2!$E:$E,MATCH(1,(Лист2!$A:$A=A252)*(Лист2!$B:$B=B252),0))</f>
        <v>711</v>
      </c>
      <c r="H252" s="9">
        <f t="shared" si="6"/>
        <v>76803.600000000006</v>
      </c>
      <c r="I252">
        <f t="shared" si="7"/>
        <v>22</v>
      </c>
    </row>
    <row r="253" spans="1:9" ht="14.25" hidden="1" customHeight="1" x14ac:dyDescent="0.3">
      <c r="A253" s="19">
        <v>43952</v>
      </c>
      <c r="B253" s="20" t="s">
        <v>19</v>
      </c>
      <c r="C253" s="21">
        <v>5446.5</v>
      </c>
      <c r="D253" s="22">
        <v>505572</v>
      </c>
      <c r="E253" s="5" cm="1">
        <f t="array" ref="E253">INDEX(Лист2!$C:$C,MATCH(1,(Лист2!$A:$A=A253)*(Лист2!$B:$B=B253),0))</f>
        <v>15</v>
      </c>
      <c r="F253" s="30" cm="1">
        <f t="array" ref="F253">INDEX(Лист2!$D:$D,MATCH(1,(Лист2!$A:$A=A253)*(Лист2!$B:$B=B253),0))</f>
        <v>294</v>
      </c>
      <c r="G253" s="5" cm="1">
        <f t="array" ref="G253">INDEX(Лист2!$E:$E,MATCH(1,(Лист2!$A:$A=A253)*(Лист2!$B:$B=B253),0))</f>
        <v>225</v>
      </c>
      <c r="H253" s="9">
        <f t="shared" si="6"/>
        <v>33704.800000000003</v>
      </c>
      <c r="I253">
        <f t="shared" si="7"/>
        <v>18</v>
      </c>
    </row>
    <row r="254" spans="1:9" ht="14.25" hidden="1" customHeight="1" x14ac:dyDescent="0.3">
      <c r="A254" s="15">
        <v>43963</v>
      </c>
      <c r="B254" s="16" t="s">
        <v>19</v>
      </c>
      <c r="C254" s="17">
        <v>11296.5</v>
      </c>
      <c r="D254" s="18">
        <v>989632.5</v>
      </c>
      <c r="E254" s="5" cm="1">
        <f t="array" ref="E254">INDEX(Лист2!$C:$C,MATCH(1,(Лист2!$A:$A=A254)*(Лист2!$B:$B=B254),0))</f>
        <v>15</v>
      </c>
      <c r="F254" s="30" cm="1">
        <f t="array" ref="F254">INDEX(Лист2!$D:$D,MATCH(1,(Лист2!$A:$A=A254)*(Лист2!$B:$B=B254),0))</f>
        <v>624</v>
      </c>
      <c r="G254" s="5" cm="1">
        <f t="array" ref="G254">INDEX(Лист2!$E:$E,MATCH(1,(Лист2!$A:$A=A254)*(Лист2!$B:$B=B254),0))</f>
        <v>538</v>
      </c>
      <c r="H254" s="9">
        <f t="shared" si="6"/>
        <v>65975.5</v>
      </c>
      <c r="I254">
        <f t="shared" si="7"/>
        <v>20</v>
      </c>
    </row>
    <row r="255" spans="1:9" ht="14.25" hidden="1" customHeight="1" x14ac:dyDescent="0.3">
      <c r="A255" s="19">
        <v>43972</v>
      </c>
      <c r="B255" s="20" t="s">
        <v>19</v>
      </c>
      <c r="C255" s="21">
        <v>12135</v>
      </c>
      <c r="D255" s="22">
        <v>1103623.5</v>
      </c>
      <c r="E255" s="5" cm="1">
        <f t="array" ref="E255">INDEX(Лист2!$C:$C,MATCH(1,(Лист2!$A:$A=A255)*(Лист2!$B:$B=B255),0))</f>
        <v>15</v>
      </c>
      <c r="F255" s="30" cm="1">
        <f t="array" ref="F255">INDEX(Лист2!$D:$D,MATCH(1,(Лист2!$A:$A=A255)*(Лист2!$B:$B=B255),0))</f>
        <v>749</v>
      </c>
      <c r="G255" s="5" cm="1">
        <f t="array" ref="G255">INDEX(Лист2!$E:$E,MATCH(1,(Лист2!$A:$A=A255)*(Лист2!$B:$B=B255),0))</f>
        <v>652</v>
      </c>
      <c r="H255" s="9">
        <f t="shared" si="6"/>
        <v>73574.899999999994</v>
      </c>
      <c r="I255">
        <f t="shared" si="7"/>
        <v>21</v>
      </c>
    </row>
    <row r="256" spans="1:9" ht="14.25" hidden="1" customHeight="1" x14ac:dyDescent="0.3">
      <c r="A256" s="15">
        <v>43971</v>
      </c>
      <c r="B256" s="16" t="s">
        <v>19</v>
      </c>
      <c r="C256" s="17">
        <v>12630</v>
      </c>
      <c r="D256" s="18">
        <v>1104858</v>
      </c>
      <c r="E256" s="5" cm="1">
        <f t="array" ref="E256">INDEX(Лист2!$C:$C,MATCH(1,(Лист2!$A:$A=A256)*(Лист2!$B:$B=B256),0))</f>
        <v>15</v>
      </c>
      <c r="F256" s="30" cm="1">
        <f t="array" ref="F256">INDEX(Лист2!$D:$D,MATCH(1,(Лист2!$A:$A=A256)*(Лист2!$B:$B=B256),0))</f>
        <v>760</v>
      </c>
      <c r="G256" s="5" cm="1">
        <f t="array" ref="G256">INDEX(Лист2!$E:$E,MATCH(1,(Лист2!$A:$A=A256)*(Лист2!$B:$B=B256),0))</f>
        <v>664</v>
      </c>
      <c r="H256" s="9">
        <f t="shared" si="6"/>
        <v>73657.2</v>
      </c>
      <c r="I256">
        <f t="shared" si="7"/>
        <v>21</v>
      </c>
    </row>
    <row r="257" spans="1:9" ht="14.25" hidden="1" customHeight="1" x14ac:dyDescent="0.3">
      <c r="A257" s="19">
        <v>43956</v>
      </c>
      <c r="B257" s="20" t="s">
        <v>19</v>
      </c>
      <c r="C257" s="21">
        <v>8223</v>
      </c>
      <c r="D257" s="22">
        <v>694593</v>
      </c>
      <c r="E257" s="5" cm="1">
        <f t="array" ref="E257">INDEX(Лист2!$C:$C,MATCH(1,(Лист2!$A:$A=A257)*(Лист2!$B:$B=B257),0))</f>
        <v>15</v>
      </c>
      <c r="F257" s="30" cm="1">
        <f t="array" ref="F257">INDEX(Лист2!$D:$D,MATCH(1,(Лист2!$A:$A=A257)*(Лист2!$B:$B=B257),0))</f>
        <v>455</v>
      </c>
      <c r="G257" s="5" cm="1">
        <f t="array" ref="G257">INDEX(Лист2!$E:$E,MATCH(1,(Лист2!$A:$A=A257)*(Лист2!$B:$B=B257),0))</f>
        <v>381</v>
      </c>
      <c r="H257" s="9">
        <f t="shared" si="6"/>
        <v>46306.2</v>
      </c>
      <c r="I257">
        <f t="shared" si="7"/>
        <v>19</v>
      </c>
    </row>
    <row r="258" spans="1:9" ht="14.25" hidden="1" customHeight="1" x14ac:dyDescent="0.3">
      <c r="A258" s="15">
        <v>43949</v>
      </c>
      <c r="B258" s="16" t="s">
        <v>20</v>
      </c>
      <c r="C258" s="17">
        <v>25149</v>
      </c>
      <c r="D258" s="18">
        <v>2277072</v>
      </c>
      <c r="E258" s="5" cm="1">
        <f t="array" ref="E258">INDEX(Лист2!$C:$C,MATCH(1,(Лист2!$A:$A=A258)*(Лист2!$B:$B=B258),0))</f>
        <v>18</v>
      </c>
      <c r="F258" s="30" cm="1">
        <f t="array" ref="F258">INDEX(Лист2!$D:$D,MATCH(1,(Лист2!$A:$A=A258)*(Лист2!$B:$B=B258),0))</f>
        <v>1505</v>
      </c>
      <c r="G258" s="5" cm="1">
        <f t="array" ref="G258">INDEX(Лист2!$E:$E,MATCH(1,(Лист2!$A:$A=A258)*(Лист2!$B:$B=B258),0))</f>
        <v>1368</v>
      </c>
      <c r="H258" s="9">
        <f t="shared" si="6"/>
        <v>126504</v>
      </c>
      <c r="I258">
        <f t="shared" si="7"/>
        <v>18</v>
      </c>
    </row>
    <row r="259" spans="1:9" ht="14.25" hidden="1" customHeight="1" x14ac:dyDescent="0.3">
      <c r="A259" s="19">
        <v>43964</v>
      </c>
      <c r="B259" s="20" t="s">
        <v>19</v>
      </c>
      <c r="C259" s="21">
        <v>10401</v>
      </c>
      <c r="D259" s="22">
        <v>949912.5</v>
      </c>
      <c r="E259" s="5" cm="1">
        <f t="array" ref="E259">INDEX(Лист2!$C:$C,MATCH(1,(Лист2!$A:$A=A259)*(Лист2!$B:$B=B259),0))</f>
        <v>15</v>
      </c>
      <c r="F259" s="30" cm="1">
        <f t="array" ref="F259">INDEX(Лист2!$D:$D,MATCH(1,(Лист2!$A:$A=A259)*(Лист2!$B:$B=B259),0))</f>
        <v>599</v>
      </c>
      <c r="G259" s="5" cm="1">
        <f t="array" ref="G259">INDEX(Лист2!$E:$E,MATCH(1,(Лист2!$A:$A=A259)*(Лист2!$B:$B=B259),0))</f>
        <v>515</v>
      </c>
      <c r="H259" s="9">
        <f t="shared" ref="H259:H322" si="8">D259/E259</f>
        <v>63327.5</v>
      </c>
      <c r="I259">
        <f t="shared" ref="I259:I322" si="9">WEEKNUM(A259,2)</f>
        <v>20</v>
      </c>
    </row>
    <row r="260" spans="1:9" ht="14.25" hidden="1" customHeight="1" x14ac:dyDescent="0.3">
      <c r="A260" s="15">
        <v>43982</v>
      </c>
      <c r="B260" s="16" t="s">
        <v>18</v>
      </c>
      <c r="C260" s="17">
        <v>17689.5</v>
      </c>
      <c r="D260" s="18">
        <v>1592119.5</v>
      </c>
      <c r="E260" s="5" cm="1">
        <f t="array" ref="E260">INDEX(Лист2!$C:$C,MATCH(1,(Лист2!$A:$A=A260)*(Лист2!$B:$B=B260),0))</f>
        <v>17</v>
      </c>
      <c r="F260" s="30" cm="1">
        <f t="array" ref="F260">INDEX(Лист2!$D:$D,MATCH(1,(Лист2!$A:$A=A260)*(Лист2!$B:$B=B260),0))</f>
        <v>1186</v>
      </c>
      <c r="G260" s="5" cm="1">
        <f t="array" ref="G260">INDEX(Лист2!$E:$E,MATCH(1,(Лист2!$A:$A=A260)*(Лист2!$B:$B=B260),0))</f>
        <v>1054</v>
      </c>
      <c r="H260" s="9">
        <f t="shared" si="8"/>
        <v>93654.088235294112</v>
      </c>
      <c r="I260">
        <f t="shared" si="9"/>
        <v>22</v>
      </c>
    </row>
    <row r="261" spans="1:9" ht="14.25" hidden="1" customHeight="1" x14ac:dyDescent="0.3">
      <c r="A261" s="19">
        <v>43954</v>
      </c>
      <c r="B261" s="20" t="s">
        <v>19</v>
      </c>
      <c r="C261" s="21">
        <v>8127</v>
      </c>
      <c r="D261" s="22">
        <v>665302.5</v>
      </c>
      <c r="E261" s="5" cm="1">
        <f t="array" ref="E261">INDEX(Лист2!$C:$C,MATCH(1,(Лист2!$A:$A=A261)*(Лист2!$B:$B=B261),0))</f>
        <v>15</v>
      </c>
      <c r="F261" s="30" cm="1">
        <f t="array" ref="F261">INDEX(Лист2!$D:$D,MATCH(1,(Лист2!$A:$A=A261)*(Лист2!$B:$B=B261),0))</f>
        <v>455</v>
      </c>
      <c r="G261" s="5" cm="1">
        <f t="array" ref="G261">INDEX(Лист2!$E:$E,MATCH(1,(Лист2!$A:$A=A261)*(Лист2!$B:$B=B261),0))</f>
        <v>384</v>
      </c>
      <c r="H261" s="9">
        <f t="shared" si="8"/>
        <v>44353.5</v>
      </c>
      <c r="I261">
        <f t="shared" si="9"/>
        <v>18</v>
      </c>
    </row>
    <row r="262" spans="1:9" ht="14.25" hidden="1" customHeight="1" x14ac:dyDescent="0.3">
      <c r="A262" s="15">
        <v>43981</v>
      </c>
      <c r="B262" s="16" t="s">
        <v>18</v>
      </c>
      <c r="C262" s="17">
        <v>27250.5</v>
      </c>
      <c r="D262" s="18">
        <v>2457252</v>
      </c>
      <c r="E262" s="5" cm="1">
        <f t="array" ref="E262">INDEX(Лист2!$C:$C,MATCH(1,(Лист2!$A:$A=A262)*(Лист2!$B:$B=B262),0))</f>
        <v>17</v>
      </c>
      <c r="F262" s="30" cm="1">
        <f t="array" ref="F262">INDEX(Лист2!$D:$D,MATCH(1,(Лист2!$A:$A=A262)*(Лист2!$B:$B=B262),0))</f>
        <v>1697</v>
      </c>
      <c r="G262" s="5" cm="1">
        <f t="array" ref="G262">INDEX(Лист2!$E:$E,MATCH(1,(Лист2!$A:$A=A262)*(Лист2!$B:$B=B262),0))</f>
        <v>1499</v>
      </c>
      <c r="H262" s="9">
        <f t="shared" si="8"/>
        <v>144544.23529411765</v>
      </c>
      <c r="I262">
        <f t="shared" si="9"/>
        <v>22</v>
      </c>
    </row>
    <row r="263" spans="1:9" ht="14.25" hidden="1" customHeight="1" x14ac:dyDescent="0.3">
      <c r="A263" s="19">
        <v>43957</v>
      </c>
      <c r="B263" s="20" t="s">
        <v>19</v>
      </c>
      <c r="C263" s="21">
        <v>8464.5</v>
      </c>
      <c r="D263" s="22">
        <v>739291.5</v>
      </c>
      <c r="E263" s="5" cm="1">
        <f t="array" ref="E263">INDEX(Лист2!$C:$C,MATCH(1,(Лист2!$A:$A=A263)*(Лист2!$B:$B=B263),0))</f>
        <v>15</v>
      </c>
      <c r="F263" s="30" cm="1">
        <f t="array" ref="F263">INDEX(Лист2!$D:$D,MATCH(1,(Лист2!$A:$A=A263)*(Лист2!$B:$B=B263),0))</f>
        <v>467</v>
      </c>
      <c r="G263" s="5" cm="1">
        <f t="array" ref="G263">INDEX(Лист2!$E:$E,MATCH(1,(Лист2!$A:$A=A263)*(Лист2!$B:$B=B263),0))</f>
        <v>389</v>
      </c>
      <c r="H263" s="9">
        <f t="shared" si="8"/>
        <v>49286.1</v>
      </c>
      <c r="I263">
        <f t="shared" si="9"/>
        <v>19</v>
      </c>
    </row>
    <row r="264" spans="1:9" ht="14.25" hidden="1" customHeight="1" x14ac:dyDescent="0.3">
      <c r="A264" s="15">
        <v>43974</v>
      </c>
      <c r="B264" s="16" t="s">
        <v>19</v>
      </c>
      <c r="C264" s="17">
        <v>14167.5</v>
      </c>
      <c r="D264" s="18">
        <v>1315075.5</v>
      </c>
      <c r="E264" s="5" cm="1">
        <f t="array" ref="E264">INDEX(Лист2!$C:$C,MATCH(1,(Лист2!$A:$A=A264)*(Лист2!$B:$B=B264),0))</f>
        <v>15</v>
      </c>
      <c r="F264" s="30" cm="1">
        <f t="array" ref="F264">INDEX(Лист2!$D:$D,MATCH(1,(Лист2!$A:$A=A264)*(Лист2!$B:$B=B264),0))</f>
        <v>840</v>
      </c>
      <c r="G264" s="5" cm="1">
        <f t="array" ref="G264">INDEX(Лист2!$E:$E,MATCH(1,(Лист2!$A:$A=A264)*(Лист2!$B:$B=B264),0))</f>
        <v>725</v>
      </c>
      <c r="H264" s="9">
        <f t="shared" si="8"/>
        <v>87671.7</v>
      </c>
      <c r="I264">
        <f t="shared" si="9"/>
        <v>21</v>
      </c>
    </row>
    <row r="265" spans="1:9" ht="14.25" hidden="1" customHeight="1" x14ac:dyDescent="0.3">
      <c r="A265" s="19">
        <v>43979</v>
      </c>
      <c r="B265" s="20" t="s">
        <v>18</v>
      </c>
      <c r="C265" s="21">
        <v>16500</v>
      </c>
      <c r="D265" s="22">
        <v>1487928</v>
      </c>
      <c r="E265" s="5" cm="1">
        <f t="array" ref="E265">INDEX(Лист2!$C:$C,MATCH(1,(Лист2!$A:$A=A265)*(Лист2!$B:$B=B265),0))</f>
        <v>17</v>
      </c>
      <c r="F265" s="30" cm="1">
        <f t="array" ref="F265">INDEX(Лист2!$D:$D,MATCH(1,(Лист2!$A:$A=A265)*(Лист2!$B:$B=B265),0))</f>
        <v>1097</v>
      </c>
      <c r="G265" s="5" cm="1">
        <f t="array" ref="G265">INDEX(Лист2!$E:$E,MATCH(1,(Лист2!$A:$A=A265)*(Лист2!$B:$B=B265),0))</f>
        <v>968</v>
      </c>
      <c r="H265" s="9">
        <f t="shared" si="8"/>
        <v>87525.176470588238</v>
      </c>
      <c r="I265">
        <f t="shared" si="9"/>
        <v>22</v>
      </c>
    </row>
    <row r="266" spans="1:9" ht="14.25" hidden="1" customHeight="1" x14ac:dyDescent="0.3">
      <c r="A266" s="15">
        <v>43976</v>
      </c>
      <c r="B266" s="16" t="s">
        <v>19</v>
      </c>
      <c r="C266" s="17">
        <v>13260</v>
      </c>
      <c r="D266" s="18">
        <v>1230687</v>
      </c>
      <c r="E266" s="5" cm="1">
        <f t="array" ref="E266">INDEX(Лист2!$C:$C,MATCH(1,(Лист2!$A:$A=A266)*(Лист2!$B:$B=B266),0))</f>
        <v>15</v>
      </c>
      <c r="F266" s="30" cm="1">
        <f t="array" ref="F266">INDEX(Лист2!$D:$D,MATCH(1,(Лист2!$A:$A=A266)*(Лист2!$B:$B=B266),0))</f>
        <v>835</v>
      </c>
      <c r="G266" s="5" cm="1">
        <f t="array" ref="G266">INDEX(Лист2!$E:$E,MATCH(1,(Лист2!$A:$A=A266)*(Лист2!$B:$B=B266),0))</f>
        <v>736</v>
      </c>
      <c r="H266" s="9">
        <f t="shared" si="8"/>
        <v>82045.8</v>
      </c>
      <c r="I266">
        <f t="shared" si="9"/>
        <v>22</v>
      </c>
    </row>
    <row r="267" spans="1:9" ht="14.25" hidden="1" customHeight="1" x14ac:dyDescent="0.3">
      <c r="A267" s="19">
        <v>43951</v>
      </c>
      <c r="B267" s="20" t="s">
        <v>19</v>
      </c>
      <c r="C267" s="21">
        <v>4285.5</v>
      </c>
      <c r="D267" s="22">
        <v>404691</v>
      </c>
      <c r="E267" s="5" cm="1">
        <f t="array" ref="E267">INDEX(Лист2!$C:$C,MATCH(1,(Лист2!$A:$A=A267)*(Лист2!$B:$B=B267),0))</f>
        <v>15</v>
      </c>
      <c r="F267" s="30" cm="1">
        <f t="array" ref="F267">INDEX(Лист2!$D:$D,MATCH(1,(Лист2!$A:$A=A267)*(Лист2!$B:$B=B267),0))</f>
        <v>262</v>
      </c>
      <c r="G267" s="5" cm="1">
        <f t="array" ref="G267">INDEX(Лист2!$E:$E,MATCH(1,(Лист2!$A:$A=A267)*(Лист2!$B:$B=B267),0))</f>
        <v>195</v>
      </c>
      <c r="H267" s="9">
        <f t="shared" si="8"/>
        <v>26979.4</v>
      </c>
      <c r="I267">
        <f t="shared" si="9"/>
        <v>18</v>
      </c>
    </row>
    <row r="268" spans="1:9" ht="14.25" hidden="1" customHeight="1" x14ac:dyDescent="0.3">
      <c r="A268" s="15">
        <v>43961</v>
      </c>
      <c r="B268" s="16" t="s">
        <v>19</v>
      </c>
      <c r="C268" s="17">
        <v>13440</v>
      </c>
      <c r="D268" s="18">
        <v>1198285.5</v>
      </c>
      <c r="E268" s="5" cm="1">
        <f t="array" ref="E268">INDEX(Лист2!$C:$C,MATCH(1,(Лист2!$A:$A=A268)*(Лист2!$B:$B=B268),0))</f>
        <v>15</v>
      </c>
      <c r="F268" s="30" cm="1">
        <f t="array" ref="F268">INDEX(Лист2!$D:$D,MATCH(1,(Лист2!$A:$A=A268)*(Лист2!$B:$B=B268),0))</f>
        <v>706</v>
      </c>
      <c r="G268" s="5" cm="1">
        <f t="array" ref="G268">INDEX(Лист2!$E:$E,MATCH(1,(Лист2!$A:$A=A268)*(Лист2!$B:$B=B268),0))</f>
        <v>608</v>
      </c>
      <c r="H268" s="9">
        <f t="shared" si="8"/>
        <v>79885.7</v>
      </c>
      <c r="I268">
        <f t="shared" si="9"/>
        <v>19</v>
      </c>
    </row>
    <row r="269" spans="1:9" ht="14.25" hidden="1" customHeight="1" x14ac:dyDescent="0.3">
      <c r="A269" s="19">
        <v>43959</v>
      </c>
      <c r="B269" s="20" t="s">
        <v>19</v>
      </c>
      <c r="C269" s="21">
        <v>9058.5</v>
      </c>
      <c r="D269" s="22">
        <v>798759</v>
      </c>
      <c r="E269" s="5" cm="1">
        <f t="array" ref="E269">INDEX(Лист2!$C:$C,MATCH(1,(Лист2!$A:$A=A269)*(Лист2!$B:$B=B269),0))</f>
        <v>15</v>
      </c>
      <c r="F269" s="30" cm="1">
        <f t="array" ref="F269">INDEX(Лист2!$D:$D,MATCH(1,(Лист2!$A:$A=A269)*(Лист2!$B:$B=B269),0))</f>
        <v>492</v>
      </c>
      <c r="G269" s="5" cm="1">
        <f t="array" ref="G269">INDEX(Лист2!$E:$E,MATCH(1,(Лист2!$A:$A=A269)*(Лист2!$B:$B=B269),0))</f>
        <v>412</v>
      </c>
      <c r="H269" s="9">
        <f t="shared" si="8"/>
        <v>53250.6</v>
      </c>
      <c r="I269">
        <f t="shared" si="9"/>
        <v>19</v>
      </c>
    </row>
    <row r="270" spans="1:9" ht="14.25" hidden="1" customHeight="1" x14ac:dyDescent="0.3">
      <c r="A270" s="15">
        <v>43958</v>
      </c>
      <c r="B270" s="16" t="s">
        <v>19</v>
      </c>
      <c r="C270" s="17">
        <v>8719.5</v>
      </c>
      <c r="D270" s="18">
        <v>769276.5</v>
      </c>
      <c r="E270" s="5" cm="1">
        <f t="array" ref="E270">INDEX(Лист2!$C:$C,MATCH(1,(Лист2!$A:$A=A270)*(Лист2!$B:$B=B270),0))</f>
        <v>15</v>
      </c>
      <c r="F270" s="30" cm="1">
        <f t="array" ref="F270">INDEX(Лист2!$D:$D,MATCH(1,(Лист2!$A:$A=A270)*(Лист2!$B:$B=B270),0))</f>
        <v>480</v>
      </c>
      <c r="G270" s="5" cm="1">
        <f t="array" ref="G270">INDEX(Лист2!$E:$E,MATCH(1,(Лист2!$A:$A=A270)*(Лист2!$B:$B=B270),0))</f>
        <v>398</v>
      </c>
      <c r="H270" s="9">
        <f t="shared" si="8"/>
        <v>51285.1</v>
      </c>
      <c r="I270">
        <f t="shared" si="9"/>
        <v>19</v>
      </c>
    </row>
    <row r="271" spans="1:9" ht="14.25" hidden="1" customHeight="1" x14ac:dyDescent="0.3">
      <c r="A271" s="19">
        <v>43975</v>
      </c>
      <c r="B271" s="20" t="s">
        <v>19</v>
      </c>
      <c r="C271" s="21">
        <v>12666</v>
      </c>
      <c r="D271" s="22">
        <v>1184865</v>
      </c>
      <c r="E271" s="5" cm="1">
        <f t="array" ref="E271">INDEX(Лист2!$C:$C,MATCH(1,(Лист2!$A:$A=A271)*(Лист2!$B:$B=B271),0))</f>
        <v>15</v>
      </c>
      <c r="F271" s="30" cm="1">
        <f t="array" ref="F271">INDEX(Лист2!$D:$D,MATCH(1,(Лист2!$A:$A=A271)*(Лист2!$B:$B=B271),0))</f>
        <v>779</v>
      </c>
      <c r="G271" s="5" cm="1">
        <f t="array" ref="G271">INDEX(Лист2!$E:$E,MATCH(1,(Лист2!$A:$A=A271)*(Лист2!$B:$B=B271),0))</f>
        <v>673</v>
      </c>
      <c r="H271" s="9">
        <f t="shared" si="8"/>
        <v>78991</v>
      </c>
      <c r="I271">
        <f t="shared" si="9"/>
        <v>21</v>
      </c>
    </row>
    <row r="272" spans="1:9" ht="14.25" hidden="1" customHeight="1" x14ac:dyDescent="0.3">
      <c r="A272" s="15">
        <v>43967</v>
      </c>
      <c r="B272" s="16" t="s">
        <v>20</v>
      </c>
      <c r="C272" s="17">
        <v>34563</v>
      </c>
      <c r="D272" s="18">
        <v>2922883.5</v>
      </c>
      <c r="E272" s="5" cm="1">
        <f t="array" ref="E272">INDEX(Лист2!$C:$C,MATCH(1,(Лист2!$A:$A=A272)*(Лист2!$B:$B=B272),0))</f>
        <v>19</v>
      </c>
      <c r="F272" s="30" cm="1">
        <f t="array" ref="F272">INDEX(Лист2!$D:$D,MATCH(1,(Лист2!$A:$A=A272)*(Лист2!$B:$B=B272),0))</f>
        <v>2039</v>
      </c>
      <c r="G272" s="5" cm="1">
        <f t="array" ref="G272">INDEX(Лист2!$E:$E,MATCH(1,(Лист2!$A:$A=A272)*(Лист2!$B:$B=B272),0))</f>
        <v>1868</v>
      </c>
      <c r="H272" s="9">
        <f t="shared" si="8"/>
        <v>153835.97368421053</v>
      </c>
      <c r="I272">
        <f t="shared" si="9"/>
        <v>20</v>
      </c>
    </row>
    <row r="273" spans="1:9" ht="14.25" hidden="1" customHeight="1" x14ac:dyDescent="0.3">
      <c r="A273" s="19">
        <v>43970</v>
      </c>
      <c r="B273" s="20" t="s">
        <v>20</v>
      </c>
      <c r="C273" s="21">
        <v>28882.5</v>
      </c>
      <c r="D273" s="22">
        <v>2446530</v>
      </c>
      <c r="E273" s="5" cm="1">
        <f t="array" ref="E273">INDEX(Лист2!$C:$C,MATCH(1,(Лист2!$A:$A=A273)*(Лист2!$B:$B=B273),0))</f>
        <v>19</v>
      </c>
      <c r="F273" s="30" cm="1">
        <f t="array" ref="F273">INDEX(Лист2!$D:$D,MATCH(1,(Лист2!$A:$A=A273)*(Лист2!$B:$B=B273),0))</f>
        <v>1831</v>
      </c>
      <c r="G273" s="5" cm="1">
        <f t="array" ref="G273">INDEX(Лист2!$E:$E,MATCH(1,(Лист2!$A:$A=A273)*(Лист2!$B:$B=B273),0))</f>
        <v>1667</v>
      </c>
      <c r="H273" s="9">
        <f t="shared" si="8"/>
        <v>128764.73684210527</v>
      </c>
      <c r="I273">
        <f t="shared" si="9"/>
        <v>21</v>
      </c>
    </row>
    <row r="274" spans="1:9" ht="14.25" hidden="1" customHeight="1" x14ac:dyDescent="0.3">
      <c r="A274" s="15">
        <v>43968</v>
      </c>
      <c r="B274" s="16" t="s">
        <v>20</v>
      </c>
      <c r="C274" s="17">
        <v>28275</v>
      </c>
      <c r="D274" s="18">
        <v>2435632.5</v>
      </c>
      <c r="E274" s="5" cm="1">
        <f t="array" ref="E274">INDEX(Лист2!$C:$C,MATCH(1,(Лист2!$A:$A=A274)*(Лист2!$B:$B=B274),0))</f>
        <v>19</v>
      </c>
      <c r="F274" s="30" cm="1">
        <f t="array" ref="F274">INDEX(Лист2!$D:$D,MATCH(1,(Лист2!$A:$A=A274)*(Лист2!$B:$B=B274),0))</f>
        <v>1790</v>
      </c>
      <c r="G274" s="5" cm="1">
        <f t="array" ref="G274">INDEX(Лист2!$E:$E,MATCH(1,(Лист2!$A:$A=A274)*(Лист2!$B:$B=B274),0))</f>
        <v>1633</v>
      </c>
      <c r="H274" s="9">
        <f t="shared" si="8"/>
        <v>128191.18421052632</v>
      </c>
      <c r="I274">
        <f t="shared" si="9"/>
        <v>20</v>
      </c>
    </row>
    <row r="275" spans="1:9" ht="14.25" hidden="1" customHeight="1" x14ac:dyDescent="0.3">
      <c r="A275" s="19">
        <v>43960</v>
      </c>
      <c r="B275" s="20" t="s">
        <v>20</v>
      </c>
      <c r="C275" s="21">
        <v>26271</v>
      </c>
      <c r="D275" s="22">
        <v>2384937</v>
      </c>
      <c r="E275" s="5" cm="1">
        <f t="array" ref="E275">INDEX(Лист2!$C:$C,MATCH(1,(Лист2!$A:$A=A275)*(Лист2!$B:$B=B275),0))</f>
        <v>19</v>
      </c>
      <c r="F275" s="30" cm="1">
        <f t="array" ref="F275">INDEX(Лист2!$D:$D,MATCH(1,(Лист2!$A:$A=A275)*(Лист2!$B:$B=B275),0))</f>
        <v>1542</v>
      </c>
      <c r="G275" s="5" cm="1">
        <f t="array" ref="G275">INDEX(Лист2!$E:$E,MATCH(1,(Лист2!$A:$A=A275)*(Лист2!$B:$B=B275),0))</f>
        <v>1412</v>
      </c>
      <c r="H275" s="9">
        <f t="shared" si="8"/>
        <v>125523</v>
      </c>
      <c r="I275">
        <f t="shared" si="9"/>
        <v>19</v>
      </c>
    </row>
    <row r="276" spans="1:9" ht="14.25" hidden="1" customHeight="1" x14ac:dyDescent="0.3">
      <c r="A276" s="15">
        <v>43955</v>
      </c>
      <c r="B276" s="16" t="s">
        <v>20</v>
      </c>
      <c r="C276" s="17">
        <v>23587.5</v>
      </c>
      <c r="D276" s="18">
        <v>2155668</v>
      </c>
      <c r="E276" s="5" cm="1">
        <f t="array" ref="E276">INDEX(Лист2!$C:$C,MATCH(1,(Лист2!$A:$A=A276)*(Лист2!$B:$B=B276),0))</f>
        <v>19</v>
      </c>
      <c r="F276" s="30" cm="1">
        <f t="array" ref="F276">INDEX(Лист2!$D:$D,MATCH(1,(Лист2!$A:$A=A276)*(Лист2!$B:$B=B276),0))</f>
        <v>1479</v>
      </c>
      <c r="G276" s="5" cm="1">
        <f t="array" ref="G276">INDEX(Лист2!$E:$E,MATCH(1,(Лист2!$A:$A=A276)*(Лист2!$B:$B=B276),0))</f>
        <v>1346</v>
      </c>
      <c r="H276" s="9">
        <f t="shared" si="8"/>
        <v>113456.21052631579</v>
      </c>
      <c r="I276">
        <f t="shared" si="9"/>
        <v>19</v>
      </c>
    </row>
    <row r="277" spans="1:9" ht="14.25" hidden="1" customHeight="1" x14ac:dyDescent="0.3">
      <c r="A277" s="19">
        <v>43953</v>
      </c>
      <c r="B277" s="20" t="s">
        <v>20</v>
      </c>
      <c r="C277" s="21">
        <v>18427.5</v>
      </c>
      <c r="D277" s="22">
        <v>1682851.5</v>
      </c>
      <c r="E277" s="5" cm="1">
        <f t="array" ref="E277">INDEX(Лист2!$C:$C,MATCH(1,(Лист2!$A:$A=A277)*(Лист2!$B:$B=B277),0))</f>
        <v>19</v>
      </c>
      <c r="F277" s="30" cm="1">
        <f t="array" ref="F277">INDEX(Лист2!$D:$D,MATCH(1,(Лист2!$A:$A=A277)*(Лист2!$B:$B=B277),0))</f>
        <v>1206</v>
      </c>
      <c r="G277" s="5" cm="1">
        <f t="array" ref="G277">INDEX(Лист2!$E:$E,MATCH(1,(Лист2!$A:$A=A277)*(Лист2!$B:$B=B277),0))</f>
        <v>1080</v>
      </c>
      <c r="H277" s="9">
        <f t="shared" si="8"/>
        <v>88571.131578947374</v>
      </c>
      <c r="I277">
        <f t="shared" si="9"/>
        <v>18</v>
      </c>
    </row>
    <row r="278" spans="1:9" ht="14.25" hidden="1" customHeight="1" x14ac:dyDescent="0.3">
      <c r="A278" s="15">
        <v>43977</v>
      </c>
      <c r="B278" s="16" t="s">
        <v>20</v>
      </c>
      <c r="C278" s="17">
        <v>27156</v>
      </c>
      <c r="D278" s="18">
        <v>2410803</v>
      </c>
      <c r="E278" s="5" cm="1">
        <f t="array" ref="E278">INDEX(Лист2!$C:$C,MATCH(1,(Лист2!$A:$A=A278)*(Лист2!$B:$B=B278),0))</f>
        <v>20</v>
      </c>
      <c r="F278" s="30" cm="1">
        <f t="array" ref="F278">INDEX(Лист2!$D:$D,MATCH(1,(Лист2!$A:$A=A278)*(Лист2!$B:$B=B278),0))</f>
        <v>1814</v>
      </c>
      <c r="G278" s="5" cm="1">
        <f t="array" ref="G278">INDEX(Лист2!$E:$E,MATCH(1,(Лист2!$A:$A=A278)*(Лист2!$B:$B=B278),0))</f>
        <v>1655</v>
      </c>
      <c r="H278" s="9">
        <f t="shared" si="8"/>
        <v>120540.15</v>
      </c>
      <c r="I278">
        <f t="shared" si="9"/>
        <v>22</v>
      </c>
    </row>
    <row r="279" spans="1:9" ht="14.25" hidden="1" customHeight="1" x14ac:dyDescent="0.3">
      <c r="A279" s="19">
        <v>43952</v>
      </c>
      <c r="B279" s="20" t="s">
        <v>20</v>
      </c>
      <c r="C279" s="21">
        <v>35190</v>
      </c>
      <c r="D279" s="22">
        <v>3168510</v>
      </c>
      <c r="E279" s="5" cm="1">
        <f t="array" ref="E279">INDEX(Лист2!$C:$C,MATCH(1,(Лист2!$A:$A=A279)*(Лист2!$B:$B=B279),0))</f>
        <v>19</v>
      </c>
      <c r="F279" s="30" cm="1">
        <f t="array" ref="F279">INDEX(Лист2!$D:$D,MATCH(1,(Лист2!$A:$A=A279)*(Лист2!$B:$B=B279),0))</f>
        <v>1987</v>
      </c>
      <c r="G279" s="5" cm="1">
        <f t="array" ref="G279">INDEX(Лист2!$E:$E,MATCH(1,(Лист2!$A:$A=A279)*(Лист2!$B:$B=B279),0))</f>
        <v>1791</v>
      </c>
      <c r="H279" s="9">
        <f t="shared" si="8"/>
        <v>166763.68421052632</v>
      </c>
      <c r="I279">
        <f t="shared" si="9"/>
        <v>18</v>
      </c>
    </row>
    <row r="280" spans="1:9" ht="14.25" hidden="1" customHeight="1" x14ac:dyDescent="0.3">
      <c r="A280" s="15">
        <v>43963</v>
      </c>
      <c r="B280" s="16" t="s">
        <v>20</v>
      </c>
      <c r="C280" s="17">
        <v>25483.5</v>
      </c>
      <c r="D280" s="18">
        <v>2243160</v>
      </c>
      <c r="E280" s="5" cm="1">
        <f t="array" ref="E280">INDEX(Лист2!$C:$C,MATCH(1,(Лист2!$A:$A=A280)*(Лист2!$B:$B=B280),0))</f>
        <v>19</v>
      </c>
      <c r="F280" s="30" cm="1">
        <f t="array" ref="F280">INDEX(Лист2!$D:$D,MATCH(1,(Лист2!$A:$A=A280)*(Лист2!$B:$B=B280),0))</f>
        <v>1598</v>
      </c>
      <c r="G280" s="5" cm="1">
        <f t="array" ref="G280">INDEX(Лист2!$E:$E,MATCH(1,(Лист2!$A:$A=A280)*(Лист2!$B:$B=B280),0))</f>
        <v>1454</v>
      </c>
      <c r="H280" s="9">
        <f t="shared" si="8"/>
        <v>118061.05263157895</v>
      </c>
      <c r="I280">
        <f t="shared" si="9"/>
        <v>20</v>
      </c>
    </row>
    <row r="281" spans="1:9" ht="14.25" hidden="1" customHeight="1" x14ac:dyDescent="0.3">
      <c r="A281" s="19">
        <v>43972</v>
      </c>
      <c r="B281" s="20" t="s">
        <v>20</v>
      </c>
      <c r="C281" s="21">
        <v>25362</v>
      </c>
      <c r="D281" s="22">
        <v>2198935.5</v>
      </c>
      <c r="E281" s="5" cm="1">
        <f t="array" ref="E281">INDEX(Лист2!$C:$C,MATCH(1,(Лист2!$A:$A=A281)*(Лист2!$B:$B=B281),0))</f>
        <v>19</v>
      </c>
      <c r="F281" s="30" cm="1">
        <f t="array" ref="F281">INDEX(Лист2!$D:$D,MATCH(1,(Лист2!$A:$A=A281)*(Лист2!$B:$B=B281),0))</f>
        <v>1650</v>
      </c>
      <c r="G281" s="5" cm="1">
        <f t="array" ref="G281">INDEX(Лист2!$E:$E,MATCH(1,(Лист2!$A:$A=A281)*(Лист2!$B:$B=B281),0))</f>
        <v>1505</v>
      </c>
      <c r="H281" s="9">
        <f t="shared" si="8"/>
        <v>115733.44736842105</v>
      </c>
      <c r="I281">
        <f t="shared" si="9"/>
        <v>21</v>
      </c>
    </row>
    <row r="282" spans="1:9" ht="14.25" hidden="1" customHeight="1" x14ac:dyDescent="0.3">
      <c r="A282" s="15">
        <v>43971</v>
      </c>
      <c r="B282" s="16" t="s">
        <v>20</v>
      </c>
      <c r="C282" s="17">
        <v>28849.5</v>
      </c>
      <c r="D282" s="18">
        <v>2520759</v>
      </c>
      <c r="E282" s="5" cm="1">
        <f t="array" ref="E282">INDEX(Лист2!$C:$C,MATCH(1,(Лист2!$A:$A=A282)*(Лист2!$B:$B=B282),0))</f>
        <v>19</v>
      </c>
      <c r="F282" s="30" cm="1">
        <f t="array" ref="F282">INDEX(Лист2!$D:$D,MATCH(1,(Лист2!$A:$A=A282)*(Лист2!$B:$B=B282),0))</f>
        <v>1823</v>
      </c>
      <c r="G282" s="5" cm="1">
        <f t="array" ref="G282">INDEX(Лист2!$E:$E,MATCH(1,(Лист2!$A:$A=A282)*(Лист2!$B:$B=B282),0))</f>
        <v>1678</v>
      </c>
      <c r="H282" s="9">
        <f t="shared" si="8"/>
        <v>132671.52631578947</v>
      </c>
      <c r="I282">
        <f t="shared" si="9"/>
        <v>21</v>
      </c>
    </row>
    <row r="283" spans="1:9" ht="14.25" hidden="1" customHeight="1" x14ac:dyDescent="0.3">
      <c r="A283" s="19">
        <v>43956</v>
      </c>
      <c r="B283" s="20" t="s">
        <v>20</v>
      </c>
      <c r="C283" s="21">
        <v>26367</v>
      </c>
      <c r="D283" s="22">
        <v>2380333.5</v>
      </c>
      <c r="E283" s="5" cm="1">
        <f t="array" ref="E283">INDEX(Лист2!$C:$C,MATCH(1,(Лист2!$A:$A=A283)*(Лист2!$B:$B=B283),0))</f>
        <v>19</v>
      </c>
      <c r="F283" s="30" cm="1">
        <f t="array" ref="F283">INDEX(Лист2!$D:$D,MATCH(1,(Лист2!$A:$A=A283)*(Лист2!$B:$B=B283),0))</f>
        <v>1622</v>
      </c>
      <c r="G283" s="5" cm="1">
        <f t="array" ref="G283">INDEX(Лист2!$E:$E,MATCH(1,(Лист2!$A:$A=A283)*(Лист2!$B:$B=B283),0))</f>
        <v>1482</v>
      </c>
      <c r="H283" s="9">
        <f t="shared" si="8"/>
        <v>125280.71052631579</v>
      </c>
      <c r="I283">
        <f t="shared" si="9"/>
        <v>19</v>
      </c>
    </row>
    <row r="284" spans="1:9" ht="14.25" hidden="1" customHeight="1" x14ac:dyDescent="0.3">
      <c r="A284" s="15">
        <v>43964</v>
      </c>
      <c r="B284" s="16" t="s">
        <v>20</v>
      </c>
      <c r="C284" s="17">
        <v>25539</v>
      </c>
      <c r="D284" s="18">
        <v>2263651.5</v>
      </c>
      <c r="E284" s="5" cm="1">
        <f t="array" ref="E284">INDEX(Лист2!$C:$C,MATCH(1,(Лист2!$A:$A=A284)*(Лист2!$B:$B=B284),0))</f>
        <v>19</v>
      </c>
      <c r="F284" s="30" cm="1">
        <f t="array" ref="F284">INDEX(Лист2!$D:$D,MATCH(1,(Лист2!$A:$A=A284)*(Лист2!$B:$B=B284),0))</f>
        <v>1605</v>
      </c>
      <c r="G284" s="5" cm="1">
        <f t="array" ref="G284">INDEX(Лист2!$E:$E,MATCH(1,(Лист2!$A:$A=A284)*(Лист2!$B:$B=B284),0))</f>
        <v>1447</v>
      </c>
      <c r="H284" s="9">
        <f t="shared" si="8"/>
        <v>119139.55263157895</v>
      </c>
      <c r="I284">
        <f t="shared" si="9"/>
        <v>20</v>
      </c>
    </row>
    <row r="285" spans="1:9" ht="14.25" hidden="1" customHeight="1" x14ac:dyDescent="0.3">
      <c r="A285" s="19">
        <v>43982</v>
      </c>
      <c r="B285" s="20" t="s">
        <v>19</v>
      </c>
      <c r="C285" s="21">
        <v>14808</v>
      </c>
      <c r="D285" s="22">
        <v>1336789.5</v>
      </c>
      <c r="E285" s="5" cm="1">
        <f t="array" ref="E285">INDEX(Лист2!$C:$C,MATCH(1,(Лист2!$A:$A=A285)*(Лист2!$B:$B=B285),0))</f>
        <v>16</v>
      </c>
      <c r="F285" s="30" cm="1">
        <f t="array" ref="F285">INDEX(Лист2!$D:$D,MATCH(1,(Лист2!$A:$A=A285)*(Лист2!$B:$B=B285),0))</f>
        <v>917</v>
      </c>
      <c r="G285" s="5" cm="1">
        <f t="array" ref="G285">INDEX(Лист2!$E:$E,MATCH(1,(Лист2!$A:$A=A285)*(Лист2!$B:$B=B285),0))</f>
        <v>802</v>
      </c>
      <c r="H285" s="9">
        <f t="shared" si="8"/>
        <v>83549.34375</v>
      </c>
      <c r="I285">
        <f t="shared" si="9"/>
        <v>22</v>
      </c>
    </row>
    <row r="286" spans="1:9" ht="14.25" hidden="1" customHeight="1" x14ac:dyDescent="0.3">
      <c r="A286" s="15">
        <v>43954</v>
      </c>
      <c r="B286" s="16" t="s">
        <v>20</v>
      </c>
      <c r="C286" s="17">
        <v>21343.5</v>
      </c>
      <c r="D286" s="18">
        <v>1906557</v>
      </c>
      <c r="E286" s="5" cm="1">
        <f t="array" ref="E286">INDEX(Лист2!$C:$C,MATCH(1,(Лист2!$A:$A=A286)*(Лист2!$B:$B=B286),0))</f>
        <v>19</v>
      </c>
      <c r="F286" s="30" cm="1">
        <f t="array" ref="F286">INDEX(Лист2!$D:$D,MATCH(1,(Лист2!$A:$A=A286)*(Лист2!$B:$B=B286),0))</f>
        <v>1314</v>
      </c>
      <c r="G286" s="5" cm="1">
        <f t="array" ref="G286">INDEX(Лист2!$E:$E,MATCH(1,(Лист2!$A:$A=A286)*(Лист2!$B:$B=B286),0))</f>
        <v>1192</v>
      </c>
      <c r="H286" s="9">
        <f t="shared" si="8"/>
        <v>100345.10526315789</v>
      </c>
      <c r="I286">
        <f t="shared" si="9"/>
        <v>18</v>
      </c>
    </row>
    <row r="287" spans="1:9" ht="14.25" hidden="1" customHeight="1" x14ac:dyDescent="0.3">
      <c r="A287" s="19">
        <v>43981</v>
      </c>
      <c r="B287" s="20" t="s">
        <v>19</v>
      </c>
      <c r="C287" s="21">
        <v>17946</v>
      </c>
      <c r="D287" s="22">
        <v>1609090.5</v>
      </c>
      <c r="E287" s="5" cm="1">
        <f t="array" ref="E287">INDEX(Лист2!$C:$C,MATCH(1,(Лист2!$A:$A=A287)*(Лист2!$B:$B=B287),0))</f>
        <v>16</v>
      </c>
      <c r="F287" s="30" cm="1">
        <f t="array" ref="F287">INDEX(Лист2!$D:$D,MATCH(1,(Лист2!$A:$A=A287)*(Лист2!$B:$B=B287),0))</f>
        <v>1048</v>
      </c>
      <c r="G287" s="5" cm="1">
        <f t="array" ref="G287">INDEX(Лист2!$E:$E,MATCH(1,(Лист2!$A:$A=A287)*(Лист2!$B:$B=B287),0))</f>
        <v>918</v>
      </c>
      <c r="H287" s="9">
        <f t="shared" si="8"/>
        <v>100568.15625</v>
      </c>
      <c r="I287">
        <f t="shared" si="9"/>
        <v>22</v>
      </c>
    </row>
    <row r="288" spans="1:9" ht="14.25" hidden="1" customHeight="1" x14ac:dyDescent="0.3">
      <c r="A288" s="15">
        <v>43957</v>
      </c>
      <c r="B288" s="16" t="s">
        <v>20</v>
      </c>
      <c r="C288" s="17">
        <v>24337.5</v>
      </c>
      <c r="D288" s="18">
        <v>2159350.5</v>
      </c>
      <c r="E288" s="5" cm="1">
        <f t="array" ref="E288">INDEX(Лист2!$C:$C,MATCH(1,(Лист2!$A:$A=A288)*(Лист2!$B:$B=B288),0))</f>
        <v>19</v>
      </c>
      <c r="F288" s="30" cm="1">
        <f t="array" ref="F288">INDEX(Лист2!$D:$D,MATCH(1,(Лист2!$A:$A=A288)*(Лист2!$B:$B=B288),0))</f>
        <v>1509</v>
      </c>
      <c r="G288" s="5" cm="1">
        <f t="array" ref="G288">INDEX(Лист2!$E:$E,MATCH(1,(Лист2!$A:$A=A288)*(Лист2!$B:$B=B288),0))</f>
        <v>1374</v>
      </c>
      <c r="H288" s="9">
        <f t="shared" si="8"/>
        <v>113650.02631578948</v>
      </c>
      <c r="I288">
        <f t="shared" si="9"/>
        <v>19</v>
      </c>
    </row>
    <row r="289" spans="1:9" ht="14.25" hidden="1" customHeight="1" x14ac:dyDescent="0.3">
      <c r="A289" s="19">
        <v>43974</v>
      </c>
      <c r="B289" s="20" t="s">
        <v>20</v>
      </c>
      <c r="C289" s="21">
        <v>36997.5</v>
      </c>
      <c r="D289" s="22">
        <v>3089140.5</v>
      </c>
      <c r="E289" s="5" cm="1">
        <f t="array" ref="E289">INDEX(Лист2!$C:$C,MATCH(1,(Лист2!$A:$A=A289)*(Лист2!$B:$B=B289),0))</f>
        <v>19</v>
      </c>
      <c r="F289" s="30" cm="1">
        <f t="array" ref="F289">INDEX(Лист2!$D:$D,MATCH(1,(Лист2!$A:$A=A289)*(Лист2!$B:$B=B289),0))</f>
        <v>2195</v>
      </c>
      <c r="G289" s="5" cm="1">
        <f t="array" ref="G289">INDEX(Лист2!$E:$E,MATCH(1,(Лист2!$A:$A=A289)*(Лист2!$B:$B=B289),0))</f>
        <v>1999</v>
      </c>
      <c r="H289" s="9">
        <f t="shared" si="8"/>
        <v>162586.34210526315</v>
      </c>
      <c r="I289">
        <f t="shared" si="9"/>
        <v>21</v>
      </c>
    </row>
    <row r="290" spans="1:9" ht="14.25" hidden="1" customHeight="1" x14ac:dyDescent="0.3">
      <c r="A290" s="15">
        <v>43979</v>
      </c>
      <c r="B290" s="16" t="s">
        <v>19</v>
      </c>
      <c r="C290" s="17">
        <v>13864.5</v>
      </c>
      <c r="D290" s="18">
        <v>1239747</v>
      </c>
      <c r="E290" s="5" cm="1">
        <f t="array" ref="E290">INDEX(Лист2!$C:$C,MATCH(1,(Лист2!$A:$A=A290)*(Лист2!$B:$B=B290),0))</f>
        <v>16</v>
      </c>
      <c r="F290" s="30" cm="1">
        <f t="array" ref="F290">INDEX(Лист2!$D:$D,MATCH(1,(Лист2!$A:$A=A290)*(Лист2!$B:$B=B290),0))</f>
        <v>876</v>
      </c>
      <c r="G290" s="5" cm="1">
        <f t="array" ref="G290">INDEX(Лист2!$E:$E,MATCH(1,(Лист2!$A:$A=A290)*(Лист2!$B:$B=B290),0))</f>
        <v>762</v>
      </c>
      <c r="H290" s="9">
        <f t="shared" si="8"/>
        <v>77484.1875</v>
      </c>
      <c r="I290">
        <f t="shared" si="9"/>
        <v>22</v>
      </c>
    </row>
    <row r="291" spans="1:9" ht="14.25" hidden="1" customHeight="1" x14ac:dyDescent="0.3">
      <c r="A291" s="19">
        <v>43976</v>
      </c>
      <c r="B291" s="20" t="s">
        <v>20</v>
      </c>
      <c r="C291" s="21">
        <v>28494</v>
      </c>
      <c r="D291" s="22">
        <v>2512803</v>
      </c>
      <c r="E291" s="5" cm="1">
        <f t="array" ref="E291">INDEX(Лист2!$C:$C,MATCH(1,(Лист2!$A:$A=A291)*(Лист2!$B:$B=B291),0))</f>
        <v>20</v>
      </c>
      <c r="F291" s="30" cm="1">
        <f t="array" ref="F291">INDEX(Лист2!$D:$D,MATCH(1,(Лист2!$A:$A=A291)*(Лист2!$B:$B=B291),0))</f>
        <v>1899</v>
      </c>
      <c r="G291" s="5" cm="1">
        <f t="array" ref="G291">INDEX(Лист2!$E:$E,MATCH(1,(Лист2!$A:$A=A291)*(Лист2!$B:$B=B291),0))</f>
        <v>1738</v>
      </c>
      <c r="H291" s="9">
        <f t="shared" si="8"/>
        <v>125640.15</v>
      </c>
      <c r="I291">
        <f t="shared" si="9"/>
        <v>22</v>
      </c>
    </row>
    <row r="292" spans="1:9" ht="14.25" hidden="1" customHeight="1" x14ac:dyDescent="0.3">
      <c r="A292" s="15">
        <v>43951</v>
      </c>
      <c r="B292" s="16" t="s">
        <v>20</v>
      </c>
      <c r="C292" s="17">
        <v>27883.5</v>
      </c>
      <c r="D292" s="18">
        <v>2560080</v>
      </c>
      <c r="E292" s="5" cm="1">
        <f t="array" ref="E292">INDEX(Лист2!$C:$C,MATCH(1,(Лист2!$A:$A=A292)*(Лист2!$B:$B=B292),0))</f>
        <v>19</v>
      </c>
      <c r="F292" s="30" cm="1">
        <f t="array" ref="F292">INDEX(Лист2!$D:$D,MATCH(1,(Лист2!$A:$A=A292)*(Лист2!$B:$B=B292),0))</f>
        <v>1662</v>
      </c>
      <c r="G292" s="5" cm="1">
        <f t="array" ref="G292">INDEX(Лист2!$E:$E,MATCH(1,(Лист2!$A:$A=A292)*(Лист2!$B:$B=B292),0))</f>
        <v>1506</v>
      </c>
      <c r="H292" s="9">
        <f t="shared" si="8"/>
        <v>134741.05263157896</v>
      </c>
      <c r="I292">
        <f t="shared" si="9"/>
        <v>18</v>
      </c>
    </row>
    <row r="293" spans="1:9" ht="14.25" hidden="1" customHeight="1" x14ac:dyDescent="0.3">
      <c r="A293" s="19">
        <v>43961</v>
      </c>
      <c r="B293" s="20" t="s">
        <v>20</v>
      </c>
      <c r="C293" s="21">
        <v>31224</v>
      </c>
      <c r="D293" s="22">
        <v>2767270.5</v>
      </c>
      <c r="E293" s="5" cm="1">
        <f t="array" ref="E293">INDEX(Лист2!$C:$C,MATCH(1,(Лист2!$A:$A=A293)*(Лист2!$B:$B=B293),0))</f>
        <v>19</v>
      </c>
      <c r="F293" s="30" cm="1">
        <f t="array" ref="F293">INDEX(Лист2!$D:$D,MATCH(1,(Лист2!$A:$A=A293)*(Лист2!$B:$B=B293),0))</f>
        <v>1836</v>
      </c>
      <c r="G293" s="5" cm="1">
        <f t="array" ref="G293">INDEX(Лист2!$E:$E,MATCH(1,(Лист2!$A:$A=A293)*(Лист2!$B:$B=B293),0))</f>
        <v>1680</v>
      </c>
      <c r="H293" s="9">
        <f t="shared" si="8"/>
        <v>145645.81578947368</v>
      </c>
      <c r="I293">
        <f t="shared" si="9"/>
        <v>19</v>
      </c>
    </row>
    <row r="294" spans="1:9" ht="14.25" hidden="1" customHeight="1" x14ac:dyDescent="0.3">
      <c r="A294" s="15">
        <v>43959</v>
      </c>
      <c r="B294" s="16" t="s">
        <v>20</v>
      </c>
      <c r="C294" s="17">
        <v>25020</v>
      </c>
      <c r="D294" s="18">
        <v>2235960</v>
      </c>
      <c r="E294" s="5" cm="1">
        <f t="array" ref="E294">INDEX(Лист2!$C:$C,MATCH(1,(Лист2!$A:$A=A294)*(Лист2!$B:$B=B294),0))</f>
        <v>19</v>
      </c>
      <c r="F294" s="30" cm="1">
        <f t="array" ref="F294">INDEX(Лист2!$D:$D,MATCH(1,(Лист2!$A:$A=A294)*(Лист2!$B:$B=B294),0))</f>
        <v>1520</v>
      </c>
      <c r="G294" s="5" cm="1">
        <f t="array" ref="G294">INDEX(Лист2!$E:$E,MATCH(1,(Лист2!$A:$A=A294)*(Лист2!$B:$B=B294),0))</f>
        <v>1380</v>
      </c>
      <c r="H294" s="9">
        <f t="shared" si="8"/>
        <v>117682.10526315789</v>
      </c>
      <c r="I294">
        <f t="shared" si="9"/>
        <v>19</v>
      </c>
    </row>
    <row r="295" spans="1:9" ht="14.25" hidden="1" customHeight="1" x14ac:dyDescent="0.3">
      <c r="A295" s="19">
        <v>43958</v>
      </c>
      <c r="B295" s="20" t="s">
        <v>20</v>
      </c>
      <c r="C295" s="21">
        <v>26184</v>
      </c>
      <c r="D295" s="22">
        <v>2308336.5</v>
      </c>
      <c r="E295" s="5" cm="1">
        <f t="array" ref="E295">INDEX(Лист2!$C:$C,MATCH(1,(Лист2!$A:$A=A295)*(Лист2!$B:$B=B295),0))</f>
        <v>19</v>
      </c>
      <c r="F295" s="30" cm="1">
        <f t="array" ref="F295">INDEX(Лист2!$D:$D,MATCH(1,(Лист2!$A:$A=A295)*(Лист2!$B:$B=B295),0))</f>
        <v>1580</v>
      </c>
      <c r="G295" s="5" cm="1">
        <f t="array" ref="G295">INDEX(Лист2!$E:$E,MATCH(1,(Лист2!$A:$A=A295)*(Лист2!$B:$B=B295),0))</f>
        <v>1435</v>
      </c>
      <c r="H295" s="9">
        <f t="shared" si="8"/>
        <v>121491.39473684211</v>
      </c>
      <c r="I295">
        <f t="shared" si="9"/>
        <v>19</v>
      </c>
    </row>
    <row r="296" spans="1:9" ht="14.25" hidden="1" customHeight="1" x14ac:dyDescent="0.3">
      <c r="A296" s="15">
        <v>43975</v>
      </c>
      <c r="B296" s="16" t="s">
        <v>20</v>
      </c>
      <c r="C296" s="17">
        <v>29824.5</v>
      </c>
      <c r="D296" s="18">
        <v>2526909</v>
      </c>
      <c r="E296" s="5" cm="1">
        <f t="array" ref="E296">INDEX(Лист2!$C:$C,MATCH(1,(Лист2!$A:$A=A296)*(Лист2!$B:$B=B296),0))</f>
        <v>19</v>
      </c>
      <c r="F296" s="30" cm="1">
        <f t="array" ref="F296">INDEX(Лист2!$D:$D,MATCH(1,(Лист2!$A:$A=A296)*(Лист2!$B:$B=B296),0))</f>
        <v>1868</v>
      </c>
      <c r="G296" s="5" cm="1">
        <f t="array" ref="G296">INDEX(Лист2!$E:$E,MATCH(1,(Лист2!$A:$A=A296)*(Лист2!$B:$B=B296),0))</f>
        <v>1706</v>
      </c>
      <c r="H296" s="9">
        <f t="shared" si="8"/>
        <v>132995.21052631579</v>
      </c>
      <c r="I296">
        <f t="shared" si="9"/>
        <v>21</v>
      </c>
    </row>
    <row r="297" spans="1:9" ht="14.25" hidden="1" customHeight="1" x14ac:dyDescent="0.3">
      <c r="A297" s="19">
        <v>43950</v>
      </c>
      <c r="B297" s="20" t="s">
        <v>21</v>
      </c>
      <c r="C297" s="21">
        <v>208351.5</v>
      </c>
      <c r="D297" s="22">
        <v>21615333</v>
      </c>
      <c r="E297" s="5" cm="1">
        <f t="array" ref="E297">INDEX(Лист2!$C:$C,MATCH(1,(Лист2!$A:$A=A297)*(Лист2!$B:$B=B297),0))</f>
        <v>59</v>
      </c>
      <c r="F297" s="30" cm="1">
        <f t="array" ref="F297">INDEX(Лист2!$D:$D,MATCH(1,(Лист2!$A:$A=A297)*(Лист2!$B:$B=B297),0))</f>
        <v>13186</v>
      </c>
      <c r="G297" s="5" cm="1">
        <f t="array" ref="G297">INDEX(Лист2!$E:$E,MATCH(1,(Лист2!$A:$A=A297)*(Лист2!$B:$B=B297),0))</f>
        <v>12251</v>
      </c>
      <c r="H297" s="9">
        <f t="shared" si="8"/>
        <v>366361.57627118647</v>
      </c>
      <c r="I297">
        <f t="shared" si="9"/>
        <v>18</v>
      </c>
    </row>
    <row r="298" spans="1:9" ht="14.25" hidden="1" customHeight="1" x14ac:dyDescent="0.3">
      <c r="A298" s="15">
        <v>43949</v>
      </c>
      <c r="B298" s="16" t="s">
        <v>21</v>
      </c>
      <c r="C298" s="17">
        <v>204637.5</v>
      </c>
      <c r="D298" s="18">
        <v>21114898.5</v>
      </c>
      <c r="E298" s="5" cm="1">
        <f t="array" ref="E298">INDEX(Лист2!$C:$C,MATCH(1,(Лист2!$A:$A=A298)*(Лист2!$B:$B=B298),0))</f>
        <v>59</v>
      </c>
      <c r="F298" s="30" cm="1">
        <f t="array" ref="F298">INDEX(Лист2!$D:$D,MATCH(1,(Лист2!$A:$A=A298)*(Лист2!$B:$B=B298),0))</f>
        <v>12943</v>
      </c>
      <c r="G298" s="5" cm="1">
        <f t="array" ref="G298">INDEX(Лист2!$E:$E,MATCH(1,(Лист2!$A:$A=A298)*(Лист2!$B:$B=B298),0))</f>
        <v>12072</v>
      </c>
      <c r="H298" s="9">
        <f t="shared" si="8"/>
        <v>357879.63559322036</v>
      </c>
      <c r="I298">
        <f t="shared" si="9"/>
        <v>18</v>
      </c>
    </row>
    <row r="299" spans="1:9" ht="14.25" hidden="1" customHeight="1" x14ac:dyDescent="0.3">
      <c r="A299" s="19">
        <v>43982</v>
      </c>
      <c r="B299" s="20" t="s">
        <v>20</v>
      </c>
      <c r="C299" s="21">
        <v>31372.5</v>
      </c>
      <c r="D299" s="22">
        <v>2794324.5</v>
      </c>
      <c r="E299" s="5" cm="1">
        <f t="array" ref="E299">INDEX(Лист2!$C:$C,MATCH(1,(Лист2!$A:$A=A299)*(Лист2!$B:$B=B299),0))</f>
        <v>21</v>
      </c>
      <c r="F299" s="30" cm="1">
        <f t="array" ref="F299">INDEX(Лист2!$D:$D,MATCH(1,(Лист2!$A:$A=A299)*(Лист2!$B:$B=B299),0))</f>
        <v>2056</v>
      </c>
      <c r="G299" s="5" cm="1">
        <f t="array" ref="G299">INDEX(Лист2!$E:$E,MATCH(1,(Лист2!$A:$A=A299)*(Лист2!$B:$B=B299),0))</f>
        <v>1879</v>
      </c>
      <c r="H299" s="9">
        <f t="shared" si="8"/>
        <v>133063.07142857142</v>
      </c>
      <c r="I299">
        <f t="shared" si="9"/>
        <v>22</v>
      </c>
    </row>
    <row r="300" spans="1:9" ht="14.25" hidden="1" customHeight="1" x14ac:dyDescent="0.3">
      <c r="A300" s="15">
        <v>43981</v>
      </c>
      <c r="B300" s="16" t="s">
        <v>20</v>
      </c>
      <c r="C300" s="17">
        <v>34681.5</v>
      </c>
      <c r="D300" s="18">
        <v>3005334</v>
      </c>
      <c r="E300" s="5" cm="1">
        <f t="array" ref="E300">INDEX(Лист2!$C:$C,MATCH(1,(Лист2!$A:$A=A300)*(Лист2!$B:$B=B300),0))</f>
        <v>20</v>
      </c>
      <c r="F300" s="30" cm="1">
        <f t="array" ref="F300">INDEX(Лист2!$D:$D,MATCH(1,(Лист2!$A:$A=A300)*(Лист2!$B:$B=B300),0))</f>
        <v>2174</v>
      </c>
      <c r="G300" s="5" cm="1">
        <f t="array" ref="G300">INDEX(Лист2!$E:$E,MATCH(1,(Лист2!$A:$A=A300)*(Лист2!$B:$B=B300),0))</f>
        <v>1957</v>
      </c>
      <c r="H300" s="9">
        <f t="shared" si="8"/>
        <v>150266.70000000001</v>
      </c>
      <c r="I300">
        <f t="shared" si="9"/>
        <v>22</v>
      </c>
    </row>
    <row r="301" spans="1:9" ht="14.25" hidden="1" customHeight="1" x14ac:dyDescent="0.3">
      <c r="A301" s="19">
        <v>43979</v>
      </c>
      <c r="B301" s="20" t="s">
        <v>20</v>
      </c>
      <c r="C301" s="21">
        <v>28197</v>
      </c>
      <c r="D301" s="22">
        <v>2559211.5</v>
      </c>
      <c r="E301" s="5" cm="1">
        <f t="array" ref="E301">INDEX(Лист2!$C:$C,MATCH(1,(Лист2!$A:$A=A301)*(Лист2!$B:$B=B301),0))</f>
        <v>20</v>
      </c>
      <c r="F301" s="30" cm="1">
        <f t="array" ref="F301">INDEX(Лист2!$D:$D,MATCH(1,(Лист2!$A:$A=A301)*(Лист2!$B:$B=B301),0))</f>
        <v>1875</v>
      </c>
      <c r="G301" s="5" cm="1">
        <f t="array" ref="G301">INDEX(Лист2!$E:$E,MATCH(1,(Лист2!$A:$A=A301)*(Лист2!$B:$B=B301),0))</f>
        <v>1701</v>
      </c>
      <c r="H301" s="9">
        <f t="shared" si="8"/>
        <v>127960.575</v>
      </c>
      <c r="I301">
        <f t="shared" si="9"/>
        <v>22</v>
      </c>
    </row>
    <row r="302" spans="1:9" ht="14.25" hidden="1" customHeight="1" x14ac:dyDescent="0.3">
      <c r="A302" s="15">
        <v>43967</v>
      </c>
      <c r="B302" s="16" t="s">
        <v>21</v>
      </c>
      <c r="C302" s="17">
        <v>236551.5</v>
      </c>
      <c r="D302" s="18">
        <v>23689383</v>
      </c>
      <c r="E302" s="5" cm="1">
        <f t="array" ref="E302">INDEX(Лист2!$C:$C,MATCH(1,(Лист2!$A:$A=A302)*(Лист2!$B:$B=B302),0))</f>
        <v>60</v>
      </c>
      <c r="F302" s="30" cm="1">
        <f t="array" ref="F302">INDEX(Лист2!$D:$D,MATCH(1,(Лист2!$A:$A=A302)*(Лист2!$B:$B=B302),0))</f>
        <v>14049</v>
      </c>
      <c r="G302" s="5" cm="1">
        <f t="array" ref="G302">INDEX(Лист2!$E:$E,MATCH(1,(Лист2!$A:$A=A302)*(Лист2!$B:$B=B302),0))</f>
        <v>13118</v>
      </c>
      <c r="H302" s="9">
        <f t="shared" si="8"/>
        <v>394823.05</v>
      </c>
      <c r="I302">
        <f t="shared" si="9"/>
        <v>20</v>
      </c>
    </row>
    <row r="303" spans="1:9" ht="14.25" hidden="1" customHeight="1" x14ac:dyDescent="0.3">
      <c r="A303" s="19">
        <v>43970</v>
      </c>
      <c r="B303" s="20" t="s">
        <v>21</v>
      </c>
      <c r="C303" s="21">
        <v>223597.5</v>
      </c>
      <c r="D303" s="22">
        <v>21945858</v>
      </c>
      <c r="E303" s="5" cm="1">
        <f t="array" ref="E303">INDEX(Лист2!$C:$C,MATCH(1,(Лист2!$A:$A=A303)*(Лист2!$B:$B=B303),0))</f>
        <v>60</v>
      </c>
      <c r="F303" s="30" cm="1">
        <f t="array" ref="F303">INDEX(Лист2!$D:$D,MATCH(1,(Лист2!$A:$A=A303)*(Лист2!$B:$B=B303),0))</f>
        <v>13867</v>
      </c>
      <c r="G303" s="5" cm="1">
        <f t="array" ref="G303">INDEX(Лист2!$E:$E,MATCH(1,(Лист2!$A:$A=A303)*(Лист2!$B:$B=B303),0))</f>
        <v>12987</v>
      </c>
      <c r="H303" s="9">
        <f t="shared" si="8"/>
        <v>365764.3</v>
      </c>
      <c r="I303">
        <f t="shared" si="9"/>
        <v>21</v>
      </c>
    </row>
    <row r="304" spans="1:9" ht="14.25" hidden="1" customHeight="1" x14ac:dyDescent="0.3">
      <c r="A304" s="15">
        <v>43968</v>
      </c>
      <c r="B304" s="16" t="s">
        <v>21</v>
      </c>
      <c r="C304" s="17">
        <v>193363.5</v>
      </c>
      <c r="D304" s="18">
        <v>19546386</v>
      </c>
      <c r="E304" s="5" cm="1">
        <f t="array" ref="E304">INDEX(Лист2!$C:$C,MATCH(1,(Лист2!$A:$A=A304)*(Лист2!$B:$B=B304),0))</f>
        <v>60</v>
      </c>
      <c r="F304" s="30" cm="1">
        <f t="array" ref="F304">INDEX(Лист2!$D:$D,MATCH(1,(Лист2!$A:$A=A304)*(Лист2!$B:$B=B304),0))</f>
        <v>11698</v>
      </c>
      <c r="G304" s="5" cm="1">
        <f t="array" ref="G304">INDEX(Лист2!$E:$E,MATCH(1,(Лист2!$A:$A=A304)*(Лист2!$B:$B=B304),0))</f>
        <v>10989</v>
      </c>
      <c r="H304" s="9">
        <f t="shared" si="8"/>
        <v>325773.09999999998</v>
      </c>
      <c r="I304">
        <f t="shared" si="9"/>
        <v>20</v>
      </c>
    </row>
    <row r="305" spans="1:9" ht="14.25" hidden="1" customHeight="1" x14ac:dyDescent="0.3">
      <c r="A305" s="19">
        <v>43960</v>
      </c>
      <c r="B305" s="20" t="s">
        <v>21</v>
      </c>
      <c r="C305" s="21">
        <v>188319</v>
      </c>
      <c r="D305" s="22">
        <v>19218631.5</v>
      </c>
      <c r="E305" s="5" cm="1">
        <f t="array" ref="E305">INDEX(Лист2!$C:$C,MATCH(1,(Лист2!$A:$A=A305)*(Лист2!$B:$B=B305),0))</f>
        <v>59</v>
      </c>
      <c r="F305" s="30" cm="1">
        <f t="array" ref="F305">INDEX(Лист2!$D:$D,MATCH(1,(Лист2!$A:$A=A305)*(Лист2!$B:$B=B305),0))</f>
        <v>12016</v>
      </c>
      <c r="G305" s="5" cm="1">
        <f t="array" ref="G305">INDEX(Лист2!$E:$E,MATCH(1,(Лист2!$A:$A=A305)*(Лист2!$B:$B=B305),0))</f>
        <v>11137</v>
      </c>
      <c r="H305" s="9">
        <f t="shared" si="8"/>
        <v>325739.51694915252</v>
      </c>
      <c r="I305">
        <f t="shared" si="9"/>
        <v>19</v>
      </c>
    </row>
    <row r="306" spans="1:9" ht="14.25" hidden="1" customHeight="1" x14ac:dyDescent="0.3">
      <c r="A306" s="15">
        <v>43955</v>
      </c>
      <c r="B306" s="16" t="s">
        <v>21</v>
      </c>
      <c r="C306" s="17">
        <v>237544.5</v>
      </c>
      <c r="D306" s="18">
        <v>24292218</v>
      </c>
      <c r="E306" s="5" cm="1">
        <f t="array" ref="E306">INDEX(Лист2!$C:$C,MATCH(1,(Лист2!$A:$A=A306)*(Лист2!$B:$B=B306),0))</f>
        <v>59</v>
      </c>
      <c r="F306" s="30" cm="1">
        <f t="array" ref="F306">INDEX(Лист2!$D:$D,MATCH(1,(Лист2!$A:$A=A306)*(Лист2!$B:$B=B306),0))</f>
        <v>14423</v>
      </c>
      <c r="G306" s="5" cm="1">
        <f t="array" ref="G306">INDEX(Лист2!$E:$E,MATCH(1,(Лист2!$A:$A=A306)*(Лист2!$B:$B=B306),0))</f>
        <v>13432</v>
      </c>
      <c r="H306" s="9">
        <f t="shared" si="8"/>
        <v>411732.50847457629</v>
      </c>
      <c r="I306">
        <f t="shared" si="9"/>
        <v>19</v>
      </c>
    </row>
    <row r="307" spans="1:9" ht="14.25" hidden="1" customHeight="1" x14ac:dyDescent="0.3">
      <c r="A307" s="19">
        <v>43950</v>
      </c>
      <c r="B307" s="20" t="s">
        <v>22</v>
      </c>
      <c r="C307" s="21">
        <v>203209.5</v>
      </c>
      <c r="D307" s="22">
        <v>20871391.5</v>
      </c>
      <c r="E307" s="5" cm="1">
        <f t="array" ref="E307">INDEX(Лист2!$C:$C,MATCH(1,(Лист2!$A:$A=A307)*(Лист2!$B:$B=B307),0))</f>
        <v>54</v>
      </c>
      <c r="F307" s="30" cm="1">
        <f t="array" ref="F307">INDEX(Лист2!$D:$D,MATCH(1,(Лист2!$A:$A=A307)*(Лист2!$B:$B=B307),0))</f>
        <v>12747</v>
      </c>
      <c r="G307" s="5" cm="1">
        <f t="array" ref="G307">INDEX(Лист2!$E:$E,MATCH(1,(Лист2!$A:$A=A307)*(Лист2!$B:$B=B307),0))</f>
        <v>11884</v>
      </c>
      <c r="H307" s="9">
        <f t="shared" si="8"/>
        <v>386507.25</v>
      </c>
      <c r="I307">
        <f t="shared" si="9"/>
        <v>18</v>
      </c>
    </row>
    <row r="308" spans="1:9" ht="14.25" hidden="1" customHeight="1" x14ac:dyDescent="0.3">
      <c r="A308" s="15">
        <v>43953</v>
      </c>
      <c r="B308" s="16" t="s">
        <v>21</v>
      </c>
      <c r="C308" s="17">
        <v>185979</v>
      </c>
      <c r="D308" s="18">
        <v>19625364</v>
      </c>
      <c r="E308" s="5" cm="1">
        <f t="array" ref="E308">INDEX(Лист2!$C:$C,MATCH(1,(Лист2!$A:$A=A308)*(Лист2!$B:$B=B308),0))</f>
        <v>59</v>
      </c>
      <c r="F308" s="30" cm="1">
        <f t="array" ref="F308">INDEX(Лист2!$D:$D,MATCH(1,(Лист2!$A:$A=A308)*(Лист2!$B:$B=B308),0))</f>
        <v>12429</v>
      </c>
      <c r="G308" s="5" cm="1">
        <f t="array" ref="G308">INDEX(Лист2!$E:$E,MATCH(1,(Лист2!$A:$A=A308)*(Лист2!$B:$B=B308),0))</f>
        <v>11477</v>
      </c>
      <c r="H308" s="9">
        <f t="shared" si="8"/>
        <v>332633.28813559323</v>
      </c>
      <c r="I308">
        <f t="shared" si="9"/>
        <v>18</v>
      </c>
    </row>
    <row r="309" spans="1:9" ht="14.25" hidden="1" customHeight="1" x14ac:dyDescent="0.3">
      <c r="A309" s="19">
        <v>43977</v>
      </c>
      <c r="B309" s="20" t="s">
        <v>21</v>
      </c>
      <c r="C309" s="21">
        <v>244905</v>
      </c>
      <c r="D309" s="22">
        <v>25163431.5</v>
      </c>
      <c r="E309" s="5" cm="1">
        <f t="array" ref="E309">INDEX(Лист2!$C:$C,MATCH(1,(Лист2!$A:$A=A309)*(Лист2!$B:$B=B309),0))</f>
        <v>59</v>
      </c>
      <c r="F309" s="30" cm="1">
        <f t="array" ref="F309">INDEX(Лист2!$D:$D,MATCH(1,(Лист2!$A:$A=A309)*(Лист2!$B:$B=B309),0))</f>
        <v>15369</v>
      </c>
      <c r="G309" s="5" cm="1">
        <f t="array" ref="G309">INDEX(Лист2!$E:$E,MATCH(1,(Лист2!$A:$A=A309)*(Лист2!$B:$B=B309),0))</f>
        <v>14299</v>
      </c>
      <c r="H309" s="9">
        <f t="shared" si="8"/>
        <v>426498.83898305084</v>
      </c>
      <c r="I309">
        <f t="shared" si="9"/>
        <v>22</v>
      </c>
    </row>
    <row r="310" spans="1:9" ht="14.25" hidden="1" customHeight="1" x14ac:dyDescent="0.3">
      <c r="A310" s="15">
        <v>43952</v>
      </c>
      <c r="B310" s="16" t="s">
        <v>21</v>
      </c>
      <c r="C310" s="17">
        <v>239409</v>
      </c>
      <c r="D310" s="18">
        <v>25413351</v>
      </c>
      <c r="E310" s="5" cm="1">
        <f t="array" ref="E310">INDEX(Лист2!$C:$C,MATCH(1,(Лист2!$A:$A=A310)*(Лист2!$B:$B=B310),0))</f>
        <v>59</v>
      </c>
      <c r="F310" s="30" cm="1">
        <f t="array" ref="F310">INDEX(Лист2!$D:$D,MATCH(1,(Лист2!$A:$A=A310)*(Лист2!$B:$B=B310),0))</f>
        <v>15222</v>
      </c>
      <c r="G310" s="5" cm="1">
        <f t="array" ref="G310">INDEX(Лист2!$E:$E,MATCH(1,(Лист2!$A:$A=A310)*(Лист2!$B:$B=B310),0))</f>
        <v>13873</v>
      </c>
      <c r="H310" s="9">
        <f t="shared" si="8"/>
        <v>430734.76271186443</v>
      </c>
      <c r="I310">
        <f t="shared" si="9"/>
        <v>18</v>
      </c>
    </row>
    <row r="311" spans="1:9" ht="14.25" hidden="1" customHeight="1" x14ac:dyDescent="0.3">
      <c r="A311" s="19">
        <v>43963</v>
      </c>
      <c r="B311" s="20" t="s">
        <v>21</v>
      </c>
      <c r="C311" s="21">
        <v>192886.5</v>
      </c>
      <c r="D311" s="22">
        <v>19205179.5</v>
      </c>
      <c r="E311" s="5" cm="1">
        <f t="array" ref="E311">INDEX(Лист2!$C:$C,MATCH(1,(Лист2!$A:$A=A311)*(Лист2!$B:$B=B311),0))</f>
        <v>60</v>
      </c>
      <c r="F311" s="30" cm="1">
        <f t="array" ref="F311">INDEX(Лист2!$D:$D,MATCH(1,(Лист2!$A:$A=A311)*(Лист2!$B:$B=B311),0))</f>
        <v>12000</v>
      </c>
      <c r="G311" s="5" cm="1">
        <f t="array" ref="G311">INDEX(Лист2!$E:$E,MATCH(1,(Лист2!$A:$A=A311)*(Лист2!$B:$B=B311),0))</f>
        <v>11194</v>
      </c>
      <c r="H311" s="9">
        <f t="shared" si="8"/>
        <v>320086.32500000001</v>
      </c>
      <c r="I311">
        <f t="shared" si="9"/>
        <v>20</v>
      </c>
    </row>
    <row r="312" spans="1:9" ht="14.25" hidden="1" customHeight="1" x14ac:dyDescent="0.3">
      <c r="A312" s="15">
        <v>43972</v>
      </c>
      <c r="B312" s="16" t="s">
        <v>21</v>
      </c>
      <c r="C312" s="17">
        <v>224233.5</v>
      </c>
      <c r="D312" s="18">
        <v>22253295</v>
      </c>
      <c r="E312" s="5" cm="1">
        <f t="array" ref="E312">INDEX(Лист2!$C:$C,MATCH(1,(Лист2!$A:$A=A312)*(Лист2!$B:$B=B312),0))</f>
        <v>60</v>
      </c>
      <c r="F312" s="30" cm="1">
        <f t="array" ref="F312">INDEX(Лист2!$D:$D,MATCH(1,(Лист2!$A:$A=A312)*(Лист2!$B:$B=B312),0))</f>
        <v>14005</v>
      </c>
      <c r="G312" s="5" cm="1">
        <f t="array" ref="G312">INDEX(Лист2!$E:$E,MATCH(1,(Лист2!$A:$A=A312)*(Лист2!$B:$B=B312),0))</f>
        <v>13002</v>
      </c>
      <c r="H312" s="9">
        <f t="shared" si="8"/>
        <v>370888.25</v>
      </c>
      <c r="I312">
        <f t="shared" si="9"/>
        <v>21</v>
      </c>
    </row>
    <row r="313" spans="1:9" ht="14.25" hidden="1" customHeight="1" x14ac:dyDescent="0.3">
      <c r="A313" s="19">
        <v>43971</v>
      </c>
      <c r="B313" s="20" t="s">
        <v>21</v>
      </c>
      <c r="C313" s="21">
        <v>219622.5</v>
      </c>
      <c r="D313" s="22">
        <v>21959286</v>
      </c>
      <c r="E313" s="5" cm="1">
        <f t="array" ref="E313">INDEX(Лист2!$C:$C,MATCH(1,(Лист2!$A:$A=A313)*(Лист2!$B:$B=B313),0))</f>
        <v>60</v>
      </c>
      <c r="F313" s="30" cm="1">
        <f t="array" ref="F313">INDEX(Лист2!$D:$D,MATCH(1,(Лист2!$A:$A=A313)*(Лист2!$B:$B=B313),0))</f>
        <v>13792</v>
      </c>
      <c r="G313" s="5" cm="1">
        <f t="array" ref="G313">INDEX(Лист2!$E:$E,MATCH(1,(Лист2!$A:$A=A313)*(Лист2!$B:$B=B313),0))</f>
        <v>12834</v>
      </c>
      <c r="H313" s="9">
        <f t="shared" si="8"/>
        <v>365988.1</v>
      </c>
      <c r="I313">
        <f t="shared" si="9"/>
        <v>21</v>
      </c>
    </row>
    <row r="314" spans="1:9" ht="14.25" hidden="1" customHeight="1" x14ac:dyDescent="0.3">
      <c r="A314" s="15">
        <v>43956</v>
      </c>
      <c r="B314" s="16" t="s">
        <v>21</v>
      </c>
      <c r="C314" s="17">
        <v>213582</v>
      </c>
      <c r="D314" s="18">
        <v>21919435.5</v>
      </c>
      <c r="E314" s="5" cm="1">
        <f t="array" ref="E314">INDEX(Лист2!$C:$C,MATCH(1,(Лист2!$A:$A=A314)*(Лист2!$B:$B=B314),0))</f>
        <v>59</v>
      </c>
      <c r="F314" s="30" cm="1">
        <f t="array" ref="F314">INDEX(Лист2!$D:$D,MATCH(1,(Лист2!$A:$A=A314)*(Лист2!$B:$B=B314),0))</f>
        <v>13469</v>
      </c>
      <c r="G314" s="5" cm="1">
        <f t="array" ref="G314">INDEX(Лист2!$E:$E,MATCH(1,(Лист2!$A:$A=A314)*(Лист2!$B:$B=B314),0))</f>
        <v>12486</v>
      </c>
      <c r="H314" s="9">
        <f t="shared" si="8"/>
        <v>371515.85593220341</v>
      </c>
      <c r="I314">
        <f t="shared" si="9"/>
        <v>19</v>
      </c>
    </row>
    <row r="315" spans="1:9" ht="14.25" hidden="1" customHeight="1" x14ac:dyDescent="0.3">
      <c r="A315" s="19">
        <v>43949</v>
      </c>
      <c r="B315" s="20" t="s">
        <v>22</v>
      </c>
      <c r="C315" s="21">
        <v>195705</v>
      </c>
      <c r="D315" s="22">
        <v>20003263.5</v>
      </c>
      <c r="E315" s="5" cm="1">
        <f t="array" ref="E315">INDEX(Лист2!$C:$C,MATCH(1,(Лист2!$A:$A=A315)*(Лист2!$B:$B=B315),0))</f>
        <v>54</v>
      </c>
      <c r="F315" s="30" cm="1">
        <f t="array" ref="F315">INDEX(Лист2!$D:$D,MATCH(1,(Лист2!$A:$A=A315)*(Лист2!$B:$B=B315),0))</f>
        <v>12306</v>
      </c>
      <c r="G315" s="5" cm="1">
        <f t="array" ref="G315">INDEX(Лист2!$E:$E,MATCH(1,(Лист2!$A:$A=A315)*(Лист2!$B:$B=B315),0))</f>
        <v>11532</v>
      </c>
      <c r="H315" s="9">
        <f t="shared" si="8"/>
        <v>370430.80555555556</v>
      </c>
      <c r="I315">
        <f t="shared" si="9"/>
        <v>18</v>
      </c>
    </row>
    <row r="316" spans="1:9" ht="14.25" hidden="1" customHeight="1" x14ac:dyDescent="0.3">
      <c r="A316" s="15">
        <v>43964</v>
      </c>
      <c r="B316" s="16" t="s">
        <v>21</v>
      </c>
      <c r="C316" s="17">
        <v>193722</v>
      </c>
      <c r="D316" s="18">
        <v>19437273</v>
      </c>
      <c r="E316" s="5" cm="1">
        <f t="array" ref="E316">INDEX(Лист2!$C:$C,MATCH(1,(Лист2!$A:$A=A316)*(Лист2!$B:$B=B316),0))</f>
        <v>60</v>
      </c>
      <c r="F316" s="30" cm="1">
        <f t="array" ref="F316">INDEX(Лист2!$D:$D,MATCH(1,(Лист2!$A:$A=A316)*(Лист2!$B:$B=B316),0))</f>
        <v>12007</v>
      </c>
      <c r="G316" s="5" cm="1">
        <f t="array" ref="G316">INDEX(Лист2!$E:$E,MATCH(1,(Лист2!$A:$A=A316)*(Лист2!$B:$B=B316),0))</f>
        <v>11245</v>
      </c>
      <c r="H316" s="9">
        <f t="shared" si="8"/>
        <v>323954.55</v>
      </c>
      <c r="I316">
        <f t="shared" si="9"/>
        <v>20</v>
      </c>
    </row>
    <row r="317" spans="1:9" ht="14.25" hidden="1" customHeight="1" x14ac:dyDescent="0.3">
      <c r="A317" s="19">
        <v>43954</v>
      </c>
      <c r="B317" s="20" t="s">
        <v>21</v>
      </c>
      <c r="C317" s="21">
        <v>257215.5</v>
      </c>
      <c r="D317" s="22">
        <v>26492278.5</v>
      </c>
      <c r="E317" s="5" cm="1">
        <f t="array" ref="E317">INDEX(Лист2!$C:$C,MATCH(1,(Лист2!$A:$A=A317)*(Лист2!$B:$B=B317),0))</f>
        <v>59</v>
      </c>
      <c r="F317" s="30" cm="1">
        <f t="array" ref="F317">INDEX(Лист2!$D:$D,MATCH(1,(Лист2!$A:$A=A317)*(Лист2!$B:$B=B317),0))</f>
        <v>15277</v>
      </c>
      <c r="G317" s="5" cm="1">
        <f t="array" ref="G317">INDEX(Лист2!$E:$E,MATCH(1,(Лист2!$A:$A=A317)*(Лист2!$B:$B=B317),0))</f>
        <v>14163</v>
      </c>
      <c r="H317" s="9">
        <f t="shared" si="8"/>
        <v>449021.66949152545</v>
      </c>
      <c r="I317">
        <f t="shared" si="9"/>
        <v>18</v>
      </c>
    </row>
    <row r="318" spans="1:9" ht="14.25" hidden="1" customHeight="1" x14ac:dyDescent="0.3">
      <c r="A318" s="15">
        <v>43957</v>
      </c>
      <c r="B318" s="16" t="s">
        <v>21</v>
      </c>
      <c r="C318" s="17">
        <v>224779.5</v>
      </c>
      <c r="D318" s="18">
        <v>23032992</v>
      </c>
      <c r="E318" s="5" cm="1">
        <f t="array" ref="E318">INDEX(Лист2!$C:$C,MATCH(1,(Лист2!$A:$A=A318)*(Лист2!$B:$B=B318),0))</f>
        <v>59</v>
      </c>
      <c r="F318" s="30" cm="1">
        <f t="array" ref="F318">INDEX(Лист2!$D:$D,MATCH(1,(Лист2!$A:$A=A318)*(Лист2!$B:$B=B318),0))</f>
        <v>14103</v>
      </c>
      <c r="G318" s="5" cm="1">
        <f t="array" ref="G318">INDEX(Лист2!$E:$E,MATCH(1,(Лист2!$A:$A=A318)*(Лист2!$B:$B=B318),0))</f>
        <v>13118</v>
      </c>
      <c r="H318" s="9">
        <f t="shared" si="8"/>
        <v>390389.69491525425</v>
      </c>
      <c r="I318">
        <f t="shared" si="9"/>
        <v>19</v>
      </c>
    </row>
    <row r="319" spans="1:9" ht="14.25" hidden="1" customHeight="1" x14ac:dyDescent="0.3">
      <c r="A319" s="19">
        <v>43974</v>
      </c>
      <c r="B319" s="20" t="s">
        <v>21</v>
      </c>
      <c r="C319" s="21">
        <v>292018.5</v>
      </c>
      <c r="D319" s="22">
        <v>28590910.5</v>
      </c>
      <c r="E319" s="5" cm="1">
        <f t="array" ref="E319">INDEX(Лист2!$C:$C,MATCH(1,(Лист2!$A:$A=A319)*(Лист2!$B:$B=B319),0))</f>
        <v>60</v>
      </c>
      <c r="F319" s="30" cm="1">
        <f t="array" ref="F319">INDEX(Лист2!$D:$D,MATCH(1,(Лист2!$A:$A=A319)*(Лист2!$B:$B=B319),0))</f>
        <v>17295</v>
      </c>
      <c r="G319" s="5" cm="1">
        <f t="array" ref="G319">INDEX(Лист2!$E:$E,MATCH(1,(Лист2!$A:$A=A319)*(Лист2!$B:$B=B319),0))</f>
        <v>16010</v>
      </c>
      <c r="H319" s="9">
        <f t="shared" si="8"/>
        <v>476515.17499999999</v>
      </c>
      <c r="I319">
        <f t="shared" si="9"/>
        <v>21</v>
      </c>
    </row>
    <row r="320" spans="1:9" ht="14.25" hidden="1" customHeight="1" x14ac:dyDescent="0.3">
      <c r="A320" s="15">
        <v>43976</v>
      </c>
      <c r="B320" s="16" t="s">
        <v>21</v>
      </c>
      <c r="C320" s="17">
        <v>198751.5</v>
      </c>
      <c r="D320" s="18">
        <v>20582743.5</v>
      </c>
      <c r="E320" s="5" cm="1">
        <f t="array" ref="E320">INDEX(Лист2!$C:$C,MATCH(1,(Лист2!$A:$A=A320)*(Лист2!$B:$B=B320),0))</f>
        <v>59</v>
      </c>
      <c r="F320" s="30" cm="1">
        <f t="array" ref="F320">INDEX(Лист2!$D:$D,MATCH(1,(Лист2!$A:$A=A320)*(Лист2!$B:$B=B320),0))</f>
        <v>12983</v>
      </c>
      <c r="G320" s="5" cm="1">
        <f t="array" ref="G320">INDEX(Лист2!$E:$E,MATCH(1,(Лист2!$A:$A=A320)*(Лист2!$B:$B=B320),0))</f>
        <v>12056</v>
      </c>
      <c r="H320" s="9">
        <f t="shared" si="8"/>
        <v>348860.05932203389</v>
      </c>
      <c r="I320">
        <f t="shared" si="9"/>
        <v>22</v>
      </c>
    </row>
    <row r="321" spans="1:9" ht="14.25" hidden="1" customHeight="1" x14ac:dyDescent="0.3">
      <c r="A321" s="19">
        <v>43951</v>
      </c>
      <c r="B321" s="20" t="s">
        <v>21</v>
      </c>
      <c r="C321" s="21">
        <v>214386</v>
      </c>
      <c r="D321" s="22">
        <v>22530000</v>
      </c>
      <c r="E321" s="5" cm="1">
        <f t="array" ref="E321">INDEX(Лист2!$C:$C,MATCH(1,(Лист2!$A:$A=A321)*(Лист2!$B:$B=B321),0))</f>
        <v>59</v>
      </c>
      <c r="F321" s="30" cm="1">
        <f t="array" ref="F321">INDEX(Лист2!$D:$D,MATCH(1,(Лист2!$A:$A=A321)*(Лист2!$B:$B=B321),0))</f>
        <v>13251</v>
      </c>
      <c r="G321" s="5" cm="1">
        <f t="array" ref="G321">INDEX(Лист2!$E:$E,MATCH(1,(Лист2!$A:$A=A321)*(Лист2!$B:$B=B321),0))</f>
        <v>12255</v>
      </c>
      <c r="H321" s="9">
        <f t="shared" si="8"/>
        <v>381864.40677966102</v>
      </c>
      <c r="I321">
        <f t="shared" si="9"/>
        <v>18</v>
      </c>
    </row>
    <row r="322" spans="1:9" ht="14.25" hidden="1" customHeight="1" x14ac:dyDescent="0.3">
      <c r="A322" s="15">
        <v>43961</v>
      </c>
      <c r="B322" s="16" t="s">
        <v>21</v>
      </c>
      <c r="C322" s="17">
        <v>243825</v>
      </c>
      <c r="D322" s="18">
        <v>24890404.5</v>
      </c>
      <c r="E322" s="5" cm="1">
        <f t="array" ref="E322">INDEX(Лист2!$C:$C,MATCH(1,(Лист2!$A:$A=A322)*(Лист2!$B:$B=B322),0))</f>
        <v>59</v>
      </c>
      <c r="F322" s="30" cm="1">
        <f t="array" ref="F322">INDEX(Лист2!$D:$D,MATCH(1,(Лист2!$A:$A=A322)*(Лист2!$B:$B=B322),0))</f>
        <v>14569</v>
      </c>
      <c r="G322" s="5" cm="1">
        <f t="array" ref="G322">INDEX(Лист2!$E:$E,MATCH(1,(Лист2!$A:$A=A322)*(Лист2!$B:$B=B322),0))</f>
        <v>13566</v>
      </c>
      <c r="H322" s="9">
        <f t="shared" si="8"/>
        <v>421871.26271186443</v>
      </c>
      <c r="I322">
        <f t="shared" si="9"/>
        <v>19</v>
      </c>
    </row>
    <row r="323" spans="1:9" ht="14.25" hidden="1" customHeight="1" x14ac:dyDescent="0.3">
      <c r="A323" s="19">
        <v>43959</v>
      </c>
      <c r="B323" s="20" t="s">
        <v>21</v>
      </c>
      <c r="C323" s="21">
        <v>232701</v>
      </c>
      <c r="D323" s="22">
        <v>23881948.5</v>
      </c>
      <c r="E323" s="5" cm="1">
        <f t="array" ref="E323">INDEX(Лист2!$C:$C,MATCH(1,(Лист2!$A:$A=A323)*(Лист2!$B:$B=B323),0))</f>
        <v>59</v>
      </c>
      <c r="F323" s="30" cm="1">
        <f t="array" ref="F323">INDEX(Лист2!$D:$D,MATCH(1,(Лист2!$A:$A=A323)*(Лист2!$B:$B=B323),0))</f>
        <v>14098</v>
      </c>
      <c r="G323" s="5" cm="1">
        <f t="array" ref="G323">INDEX(Лист2!$E:$E,MATCH(1,(Лист2!$A:$A=A323)*(Лист2!$B:$B=B323),0))</f>
        <v>13106</v>
      </c>
      <c r="H323" s="9">
        <f t="shared" ref="H323:H386" si="10">D323/E323</f>
        <v>404778.78813559323</v>
      </c>
      <c r="I323">
        <f t="shared" ref="I323:I386" si="11">WEEKNUM(A323,2)</f>
        <v>19</v>
      </c>
    </row>
    <row r="324" spans="1:9" ht="14.25" hidden="1" customHeight="1" x14ac:dyDescent="0.3">
      <c r="A324" s="15">
        <v>43958</v>
      </c>
      <c r="B324" s="16" t="s">
        <v>21</v>
      </c>
      <c r="C324" s="17">
        <v>219411</v>
      </c>
      <c r="D324" s="18">
        <v>22460130</v>
      </c>
      <c r="E324" s="5" cm="1">
        <f t="array" ref="E324">INDEX(Лист2!$C:$C,MATCH(1,(Лист2!$A:$A=A324)*(Лист2!$B:$B=B324),0))</f>
        <v>59</v>
      </c>
      <c r="F324" s="30" cm="1">
        <f t="array" ref="F324">INDEX(Лист2!$D:$D,MATCH(1,(Лист2!$A:$A=A324)*(Лист2!$B:$B=B324),0))</f>
        <v>13495</v>
      </c>
      <c r="G324" s="5" cm="1">
        <f t="array" ref="G324">INDEX(Лист2!$E:$E,MATCH(1,(Лист2!$A:$A=A324)*(Лист2!$B:$B=B324),0))</f>
        <v>12517</v>
      </c>
      <c r="H324" s="9">
        <f t="shared" si="10"/>
        <v>380680.16949152545</v>
      </c>
      <c r="I324">
        <f t="shared" si="11"/>
        <v>19</v>
      </c>
    </row>
    <row r="325" spans="1:9" ht="14.25" hidden="1" customHeight="1" x14ac:dyDescent="0.3">
      <c r="A325" s="19">
        <v>43975</v>
      </c>
      <c r="B325" s="20" t="s">
        <v>21</v>
      </c>
      <c r="C325" s="21">
        <v>200029.5</v>
      </c>
      <c r="D325" s="22">
        <v>19959801</v>
      </c>
      <c r="E325" s="5" cm="1">
        <f t="array" ref="E325">INDEX(Лист2!$C:$C,MATCH(1,(Лист2!$A:$A=A325)*(Лист2!$B:$B=B325),0))</f>
        <v>60</v>
      </c>
      <c r="F325" s="30" cm="1">
        <f t="array" ref="F325">INDEX(Лист2!$D:$D,MATCH(1,(Лист2!$A:$A=A325)*(Лист2!$B:$B=B325),0))</f>
        <v>12822</v>
      </c>
      <c r="G325" s="5" cm="1">
        <f t="array" ref="G325">INDEX(Лист2!$E:$E,MATCH(1,(Лист2!$A:$A=A325)*(Лист2!$B:$B=B325),0))</f>
        <v>11916</v>
      </c>
      <c r="H325" s="9">
        <f t="shared" si="10"/>
        <v>332663.34999999998</v>
      </c>
      <c r="I325">
        <f t="shared" si="11"/>
        <v>21</v>
      </c>
    </row>
    <row r="326" spans="1:9" ht="14.25" hidden="1" customHeight="1" x14ac:dyDescent="0.3">
      <c r="A326" s="15">
        <v>43967</v>
      </c>
      <c r="B326" s="16" t="s">
        <v>22</v>
      </c>
      <c r="C326" s="17">
        <v>225480</v>
      </c>
      <c r="D326" s="18">
        <v>22355338.5</v>
      </c>
      <c r="E326" s="5" cm="1">
        <f t="array" ref="E326">INDEX(Лист2!$C:$C,MATCH(1,(Лист2!$A:$A=A326)*(Лист2!$B:$B=B326),0))</f>
        <v>54</v>
      </c>
      <c r="F326" s="30" cm="1">
        <f t="array" ref="F326">INDEX(Лист2!$D:$D,MATCH(1,(Лист2!$A:$A=A326)*(Лист2!$B:$B=B326),0))</f>
        <v>13170</v>
      </c>
      <c r="G326" s="5" cm="1">
        <f t="array" ref="G326">INDEX(Лист2!$E:$E,MATCH(1,(Лист2!$A:$A=A326)*(Лист2!$B:$B=B326),0))</f>
        <v>12299</v>
      </c>
      <c r="H326" s="9">
        <f t="shared" si="10"/>
        <v>413987.75</v>
      </c>
      <c r="I326">
        <f t="shared" si="11"/>
        <v>20</v>
      </c>
    </row>
    <row r="327" spans="1:9" ht="14.25" hidden="1" customHeight="1" x14ac:dyDescent="0.3">
      <c r="A327" s="19">
        <v>43970</v>
      </c>
      <c r="B327" s="20" t="s">
        <v>22</v>
      </c>
      <c r="C327" s="21">
        <v>211453.5</v>
      </c>
      <c r="D327" s="22">
        <v>20590072.5</v>
      </c>
      <c r="E327" s="5" cm="1">
        <f t="array" ref="E327">INDEX(Лист2!$C:$C,MATCH(1,(Лист2!$A:$A=A327)*(Лист2!$B:$B=B327),0))</f>
        <v>54</v>
      </c>
      <c r="F327" s="30" cm="1">
        <f t="array" ref="F327">INDEX(Лист2!$D:$D,MATCH(1,(Лист2!$A:$A=A327)*(Лист2!$B:$B=B327),0))</f>
        <v>13070</v>
      </c>
      <c r="G327" s="5" cm="1">
        <f t="array" ref="G327">INDEX(Лист2!$E:$E,MATCH(1,(Лист2!$A:$A=A327)*(Лист2!$B:$B=B327),0))</f>
        <v>12244</v>
      </c>
      <c r="H327" s="9">
        <f t="shared" si="10"/>
        <v>381297.63888888888</v>
      </c>
      <c r="I327">
        <f t="shared" si="11"/>
        <v>21</v>
      </c>
    </row>
    <row r="328" spans="1:9" ht="14.25" hidden="1" customHeight="1" x14ac:dyDescent="0.3">
      <c r="A328" s="15">
        <v>43968</v>
      </c>
      <c r="B328" s="16" t="s">
        <v>22</v>
      </c>
      <c r="C328" s="17">
        <v>184801.5</v>
      </c>
      <c r="D328" s="18">
        <v>18449091</v>
      </c>
      <c r="E328" s="5" cm="1">
        <f t="array" ref="E328">INDEX(Лист2!$C:$C,MATCH(1,(Лист2!$A:$A=A328)*(Лист2!$B:$B=B328),0))</f>
        <v>54</v>
      </c>
      <c r="F328" s="30" cm="1">
        <f t="array" ref="F328">INDEX(Лист2!$D:$D,MATCH(1,(Лист2!$A:$A=A328)*(Лист2!$B:$B=B328),0))</f>
        <v>11128</v>
      </c>
      <c r="G328" s="5" cm="1">
        <f t="array" ref="G328">INDEX(Лист2!$E:$E,MATCH(1,(Лист2!$A:$A=A328)*(Лист2!$B:$B=B328),0))</f>
        <v>10467</v>
      </c>
      <c r="H328" s="9">
        <f t="shared" si="10"/>
        <v>341649.83333333331</v>
      </c>
      <c r="I328">
        <f t="shared" si="11"/>
        <v>20</v>
      </c>
    </row>
    <row r="329" spans="1:9" ht="14.25" hidden="1" customHeight="1" x14ac:dyDescent="0.3">
      <c r="A329" s="19">
        <v>43960</v>
      </c>
      <c r="B329" s="20" t="s">
        <v>22</v>
      </c>
      <c r="C329" s="21">
        <v>177976.5</v>
      </c>
      <c r="D329" s="22">
        <v>18085798.5</v>
      </c>
      <c r="E329" s="5" cm="1">
        <f t="array" ref="E329">INDEX(Лист2!$C:$C,MATCH(1,(Лист2!$A:$A=A329)*(Лист2!$B:$B=B329),0))</f>
        <v>54</v>
      </c>
      <c r="F329" s="30" cm="1">
        <f t="array" ref="F329">INDEX(Лист2!$D:$D,MATCH(1,(Лист2!$A:$A=A329)*(Лист2!$B:$B=B329),0))</f>
        <v>11288</v>
      </c>
      <c r="G329" s="5" cm="1">
        <f t="array" ref="G329">INDEX(Лист2!$E:$E,MATCH(1,(Лист2!$A:$A=A329)*(Лист2!$B:$B=B329),0))</f>
        <v>10492</v>
      </c>
      <c r="H329" s="9">
        <f t="shared" si="10"/>
        <v>334922.19444444444</v>
      </c>
      <c r="I329">
        <f t="shared" si="11"/>
        <v>19</v>
      </c>
    </row>
    <row r="330" spans="1:9" ht="14.25" hidden="1" customHeight="1" x14ac:dyDescent="0.3">
      <c r="A330" s="15">
        <v>43955</v>
      </c>
      <c r="B330" s="16" t="s">
        <v>22</v>
      </c>
      <c r="C330" s="17">
        <v>223617</v>
      </c>
      <c r="D330" s="18">
        <v>22796827.5</v>
      </c>
      <c r="E330" s="5" cm="1">
        <f t="array" ref="E330">INDEX(Лист2!$C:$C,MATCH(1,(Лист2!$A:$A=A330)*(Лист2!$B:$B=B330),0))</f>
        <v>54</v>
      </c>
      <c r="F330" s="30" cm="1">
        <f t="array" ref="F330">INDEX(Лист2!$D:$D,MATCH(1,(Лист2!$A:$A=A330)*(Лист2!$B:$B=B330),0))</f>
        <v>13606</v>
      </c>
      <c r="G330" s="5" cm="1">
        <f t="array" ref="G330">INDEX(Лист2!$E:$E,MATCH(1,(Лист2!$A:$A=A330)*(Лист2!$B:$B=B330),0))</f>
        <v>12697</v>
      </c>
      <c r="H330" s="9">
        <f t="shared" si="10"/>
        <v>422163.47222222225</v>
      </c>
      <c r="I330">
        <f t="shared" si="11"/>
        <v>19</v>
      </c>
    </row>
    <row r="331" spans="1:9" ht="14.25" hidden="1" customHeight="1" x14ac:dyDescent="0.3">
      <c r="A331" s="19">
        <v>43953</v>
      </c>
      <c r="B331" s="20" t="s">
        <v>22</v>
      </c>
      <c r="C331" s="21">
        <v>176397</v>
      </c>
      <c r="D331" s="22">
        <v>18625921.5</v>
      </c>
      <c r="E331" s="5" cm="1">
        <f t="array" ref="E331">INDEX(Лист2!$C:$C,MATCH(1,(Лист2!$A:$A=A331)*(Лист2!$B:$B=B331),0))</f>
        <v>54</v>
      </c>
      <c r="F331" s="30" cm="1">
        <f t="array" ref="F331">INDEX(Лист2!$D:$D,MATCH(1,(Лист2!$A:$A=A331)*(Лист2!$B:$B=B331),0))</f>
        <v>11622</v>
      </c>
      <c r="G331" s="5" cm="1">
        <f t="array" ref="G331">INDEX(Лист2!$E:$E,MATCH(1,(Лист2!$A:$A=A331)*(Лист2!$B:$B=B331),0))</f>
        <v>10754</v>
      </c>
      <c r="H331" s="9">
        <f t="shared" si="10"/>
        <v>344924.47222222225</v>
      </c>
      <c r="I331">
        <f t="shared" si="11"/>
        <v>18</v>
      </c>
    </row>
    <row r="332" spans="1:9" ht="14.25" hidden="1" customHeight="1" x14ac:dyDescent="0.3">
      <c r="A332" s="15">
        <v>43977</v>
      </c>
      <c r="B332" s="16" t="s">
        <v>22</v>
      </c>
      <c r="C332" s="17">
        <v>232369.5</v>
      </c>
      <c r="D332" s="18">
        <v>23856345</v>
      </c>
      <c r="E332" s="5" cm="1">
        <f t="array" ref="E332">INDEX(Лист2!$C:$C,MATCH(1,(Лист2!$A:$A=A332)*(Лист2!$B:$B=B332),0))</f>
        <v>54</v>
      </c>
      <c r="F332" s="30" cm="1">
        <f t="array" ref="F332">INDEX(Лист2!$D:$D,MATCH(1,(Лист2!$A:$A=A332)*(Лист2!$B:$B=B332),0))</f>
        <v>14482</v>
      </c>
      <c r="G332" s="5" cm="1">
        <f t="array" ref="G332">INDEX(Лист2!$E:$E,MATCH(1,(Лист2!$A:$A=A332)*(Лист2!$B:$B=B332),0))</f>
        <v>13510</v>
      </c>
      <c r="H332" s="9">
        <f t="shared" si="10"/>
        <v>441784.16666666669</v>
      </c>
      <c r="I332">
        <f t="shared" si="11"/>
        <v>22</v>
      </c>
    </row>
    <row r="333" spans="1:9" ht="14.25" hidden="1" customHeight="1" x14ac:dyDescent="0.3">
      <c r="A333" s="19">
        <v>43952</v>
      </c>
      <c r="B333" s="20" t="s">
        <v>22</v>
      </c>
      <c r="C333" s="21">
        <v>226540.5</v>
      </c>
      <c r="D333" s="22">
        <v>23953536</v>
      </c>
      <c r="E333" s="5" cm="1">
        <f t="array" ref="E333">INDEX(Лист2!$C:$C,MATCH(1,(Лист2!$A:$A=A333)*(Лист2!$B:$B=B333),0))</f>
        <v>54</v>
      </c>
      <c r="F333" s="30" cm="1">
        <f t="array" ref="F333">INDEX(Лист2!$D:$D,MATCH(1,(Лист2!$A:$A=A333)*(Лист2!$B:$B=B333),0))</f>
        <v>14205</v>
      </c>
      <c r="G333" s="5" cm="1">
        <f t="array" ref="G333">INDEX(Лист2!$E:$E,MATCH(1,(Лист2!$A:$A=A333)*(Лист2!$B:$B=B333),0))</f>
        <v>13026</v>
      </c>
      <c r="H333" s="9">
        <f t="shared" si="10"/>
        <v>443584</v>
      </c>
      <c r="I333">
        <f t="shared" si="11"/>
        <v>18</v>
      </c>
    </row>
    <row r="334" spans="1:9" ht="14.25" hidden="1" customHeight="1" x14ac:dyDescent="0.3">
      <c r="A334" s="15">
        <v>43963</v>
      </c>
      <c r="B334" s="16" t="s">
        <v>22</v>
      </c>
      <c r="C334" s="17">
        <v>189679.5</v>
      </c>
      <c r="D334" s="18">
        <v>18718036.5</v>
      </c>
      <c r="E334" s="5" cm="1">
        <f t="array" ref="E334">INDEX(Лист2!$C:$C,MATCH(1,(Лист2!$A:$A=A334)*(Лист2!$B:$B=B334),0))</f>
        <v>54</v>
      </c>
      <c r="F334" s="30" cm="1">
        <f t="array" ref="F334">INDEX(Лист2!$D:$D,MATCH(1,(Лист2!$A:$A=A334)*(Лист2!$B:$B=B334),0))</f>
        <v>11614</v>
      </c>
      <c r="G334" s="5" cm="1">
        <f t="array" ref="G334">INDEX(Лист2!$E:$E,MATCH(1,(Лист2!$A:$A=A334)*(Лист2!$B:$B=B334),0))</f>
        <v>10862</v>
      </c>
      <c r="H334" s="9">
        <f t="shared" si="10"/>
        <v>346630.30555555556</v>
      </c>
      <c r="I334">
        <f t="shared" si="11"/>
        <v>20</v>
      </c>
    </row>
    <row r="335" spans="1:9" ht="14.25" hidden="1" customHeight="1" x14ac:dyDescent="0.3">
      <c r="A335" s="19">
        <v>43972</v>
      </c>
      <c r="B335" s="20" t="s">
        <v>22</v>
      </c>
      <c r="C335" s="21">
        <v>213640.5</v>
      </c>
      <c r="D335" s="22">
        <v>21042673.5</v>
      </c>
      <c r="E335" s="5" cm="1">
        <f t="array" ref="E335">INDEX(Лист2!$C:$C,MATCH(1,(Лист2!$A:$A=A335)*(Лист2!$B:$B=B335),0))</f>
        <v>54</v>
      </c>
      <c r="F335" s="30" cm="1">
        <f t="array" ref="F335">INDEX(Лист2!$D:$D,MATCH(1,(Лист2!$A:$A=A335)*(Лист2!$B:$B=B335),0))</f>
        <v>13240</v>
      </c>
      <c r="G335" s="5" cm="1">
        <f t="array" ref="G335">INDEX(Лист2!$E:$E,MATCH(1,(Лист2!$A:$A=A335)*(Лист2!$B:$B=B335),0))</f>
        <v>12360</v>
      </c>
      <c r="H335" s="9">
        <f t="shared" si="10"/>
        <v>389679.13888888888</v>
      </c>
      <c r="I335">
        <f t="shared" si="11"/>
        <v>21</v>
      </c>
    </row>
    <row r="336" spans="1:9" ht="14.25" hidden="1" customHeight="1" x14ac:dyDescent="0.3">
      <c r="A336" s="15">
        <v>43971</v>
      </c>
      <c r="B336" s="16" t="s">
        <v>22</v>
      </c>
      <c r="C336" s="17">
        <v>214885.5</v>
      </c>
      <c r="D336" s="18">
        <v>21411349.5</v>
      </c>
      <c r="E336" s="5" cm="1">
        <f t="array" ref="E336">INDEX(Лист2!$C:$C,MATCH(1,(Лист2!$A:$A=A336)*(Лист2!$B:$B=B336),0))</f>
        <v>54</v>
      </c>
      <c r="F336" s="30" cm="1">
        <f t="array" ref="F336">INDEX(Лист2!$D:$D,MATCH(1,(Лист2!$A:$A=A336)*(Лист2!$B:$B=B336),0))</f>
        <v>13298</v>
      </c>
      <c r="G336" s="5" cm="1">
        <f t="array" ref="G336">INDEX(Лист2!$E:$E,MATCH(1,(Лист2!$A:$A=A336)*(Лист2!$B:$B=B336),0))</f>
        <v>12428</v>
      </c>
      <c r="H336" s="9">
        <f t="shared" si="10"/>
        <v>396506.47222222225</v>
      </c>
      <c r="I336">
        <f t="shared" si="11"/>
        <v>21</v>
      </c>
    </row>
    <row r="337" spans="1:9" ht="14.25" hidden="1" customHeight="1" x14ac:dyDescent="0.3">
      <c r="A337" s="19">
        <v>43956</v>
      </c>
      <c r="B337" s="20" t="s">
        <v>22</v>
      </c>
      <c r="C337" s="21">
        <v>203832</v>
      </c>
      <c r="D337" s="22">
        <v>20880142.5</v>
      </c>
      <c r="E337" s="5" cm="1">
        <f t="array" ref="E337">INDEX(Лист2!$C:$C,MATCH(1,(Лист2!$A:$A=A337)*(Лист2!$B:$B=B337),0))</f>
        <v>54</v>
      </c>
      <c r="F337" s="30" cm="1">
        <f t="array" ref="F337">INDEX(Лист2!$D:$D,MATCH(1,(Лист2!$A:$A=A337)*(Лист2!$B:$B=B337),0))</f>
        <v>12775</v>
      </c>
      <c r="G337" s="5" cm="1">
        <f t="array" ref="G337">INDEX(Лист2!$E:$E,MATCH(1,(Лист2!$A:$A=A337)*(Лист2!$B:$B=B337),0))</f>
        <v>11887</v>
      </c>
      <c r="H337" s="9">
        <f t="shared" si="10"/>
        <v>386669.30555555556</v>
      </c>
      <c r="I337">
        <f t="shared" si="11"/>
        <v>19</v>
      </c>
    </row>
    <row r="338" spans="1:9" ht="14.25" hidden="1" customHeight="1" x14ac:dyDescent="0.3">
      <c r="A338" s="15">
        <v>43964</v>
      </c>
      <c r="B338" s="16" t="s">
        <v>22</v>
      </c>
      <c r="C338" s="17">
        <v>188662.5</v>
      </c>
      <c r="D338" s="18">
        <v>18784000.5</v>
      </c>
      <c r="E338" s="5" cm="1">
        <f t="array" ref="E338">INDEX(Лист2!$C:$C,MATCH(1,(Лист2!$A:$A=A338)*(Лист2!$B:$B=B338),0))</f>
        <v>54</v>
      </c>
      <c r="F338" s="30" cm="1">
        <f t="array" ref="F338">INDEX(Лист2!$D:$D,MATCH(1,(Лист2!$A:$A=A338)*(Лист2!$B:$B=B338),0))</f>
        <v>11522</v>
      </c>
      <c r="G338" s="5" cm="1">
        <f t="array" ref="G338">INDEX(Лист2!$E:$E,MATCH(1,(Лист2!$A:$A=A338)*(Лист2!$B:$B=B338),0))</f>
        <v>10803</v>
      </c>
      <c r="H338" s="9">
        <f t="shared" si="10"/>
        <v>347851.86111111112</v>
      </c>
      <c r="I338">
        <f t="shared" si="11"/>
        <v>20</v>
      </c>
    </row>
    <row r="339" spans="1:9" ht="14.25" hidden="1" customHeight="1" x14ac:dyDescent="0.3">
      <c r="A339" s="19">
        <v>43982</v>
      </c>
      <c r="B339" s="20" t="s">
        <v>21</v>
      </c>
      <c r="C339" s="21">
        <v>215277</v>
      </c>
      <c r="D339" s="22">
        <v>21585316.5</v>
      </c>
      <c r="E339" s="5" cm="1">
        <f t="array" ref="E339">INDEX(Лист2!$C:$C,MATCH(1,(Лист2!$A:$A=A339)*(Лист2!$B:$B=B339),0))</f>
        <v>59</v>
      </c>
      <c r="F339" s="30" cm="1">
        <f t="array" ref="F339">INDEX(Лист2!$D:$D,MATCH(1,(Лист2!$A:$A=A339)*(Лист2!$B:$B=B339),0))</f>
        <v>13684</v>
      </c>
      <c r="G339" s="5" cm="1">
        <f t="array" ref="G339">INDEX(Лист2!$E:$E,MATCH(1,(Лист2!$A:$A=A339)*(Лист2!$B:$B=B339),0))</f>
        <v>12690</v>
      </c>
      <c r="H339" s="9">
        <f t="shared" si="10"/>
        <v>365852.82203389832</v>
      </c>
      <c r="I339">
        <f t="shared" si="11"/>
        <v>22</v>
      </c>
    </row>
    <row r="340" spans="1:9" ht="14.25" hidden="1" customHeight="1" x14ac:dyDescent="0.3">
      <c r="A340" s="15">
        <v>43954</v>
      </c>
      <c r="B340" s="16" t="s">
        <v>22</v>
      </c>
      <c r="C340" s="17">
        <v>248148</v>
      </c>
      <c r="D340" s="18">
        <v>25519072.5</v>
      </c>
      <c r="E340" s="5" cm="1">
        <f t="array" ref="E340">INDEX(Лист2!$C:$C,MATCH(1,(Лист2!$A:$A=A340)*(Лист2!$B:$B=B340),0))</f>
        <v>54</v>
      </c>
      <c r="F340" s="30" cm="1">
        <f t="array" ref="F340">INDEX(Лист2!$D:$D,MATCH(1,(Лист2!$A:$A=A340)*(Лист2!$B:$B=B340),0))</f>
        <v>14823</v>
      </c>
      <c r="G340" s="5" cm="1">
        <f t="array" ref="G340">INDEX(Лист2!$E:$E,MATCH(1,(Лист2!$A:$A=A340)*(Лист2!$B:$B=B340),0))</f>
        <v>13751</v>
      </c>
      <c r="H340" s="9">
        <f t="shared" si="10"/>
        <v>472575.41666666669</v>
      </c>
      <c r="I340">
        <f t="shared" si="11"/>
        <v>18</v>
      </c>
    </row>
    <row r="341" spans="1:9" ht="14.25" hidden="1" customHeight="1" x14ac:dyDescent="0.3">
      <c r="A341" s="19">
        <v>43981</v>
      </c>
      <c r="B341" s="20" t="s">
        <v>21</v>
      </c>
      <c r="C341" s="21">
        <v>246414</v>
      </c>
      <c r="D341" s="22">
        <v>24527245.5</v>
      </c>
      <c r="E341" s="5" cm="1">
        <f t="array" ref="E341">INDEX(Лист2!$C:$C,MATCH(1,(Лист2!$A:$A=A341)*(Лист2!$B:$B=B341),0))</f>
        <v>59</v>
      </c>
      <c r="F341" s="30" cm="1">
        <f t="array" ref="F341">INDEX(Лист2!$D:$D,MATCH(1,(Лист2!$A:$A=A341)*(Лист2!$B:$B=B341),0))</f>
        <v>15030</v>
      </c>
      <c r="G341" s="5" cm="1">
        <f t="array" ref="G341">INDEX(Лист2!$E:$E,MATCH(1,(Лист2!$A:$A=A341)*(Лист2!$B:$B=B341),0))</f>
        <v>13956</v>
      </c>
      <c r="H341" s="9">
        <f t="shared" si="10"/>
        <v>415716.0254237288</v>
      </c>
      <c r="I341">
        <f t="shared" si="11"/>
        <v>22</v>
      </c>
    </row>
    <row r="342" spans="1:9" ht="14.25" hidden="1" customHeight="1" x14ac:dyDescent="0.3">
      <c r="A342" s="15">
        <v>43957</v>
      </c>
      <c r="B342" s="16" t="s">
        <v>22</v>
      </c>
      <c r="C342" s="17">
        <v>216498</v>
      </c>
      <c r="D342" s="18">
        <v>22126444.5</v>
      </c>
      <c r="E342" s="5" cm="1">
        <f t="array" ref="E342">INDEX(Лист2!$C:$C,MATCH(1,(Лист2!$A:$A=A342)*(Лист2!$B:$B=B342),0))</f>
        <v>54</v>
      </c>
      <c r="F342" s="30" cm="1">
        <f t="array" ref="F342">INDEX(Лист2!$D:$D,MATCH(1,(Лист2!$A:$A=A342)*(Лист2!$B:$B=B342),0))</f>
        <v>13406</v>
      </c>
      <c r="G342" s="5" cm="1">
        <f t="array" ref="G342">INDEX(Лист2!$E:$E,MATCH(1,(Лист2!$A:$A=A342)*(Лист2!$B:$B=B342),0))</f>
        <v>12518</v>
      </c>
      <c r="H342" s="9">
        <f t="shared" si="10"/>
        <v>409748.97222222225</v>
      </c>
      <c r="I342">
        <f t="shared" si="11"/>
        <v>19</v>
      </c>
    </row>
    <row r="343" spans="1:9" ht="14.25" hidden="1" customHeight="1" x14ac:dyDescent="0.3">
      <c r="A343" s="19">
        <v>43974</v>
      </c>
      <c r="B343" s="20" t="s">
        <v>22</v>
      </c>
      <c r="C343" s="21">
        <v>275793</v>
      </c>
      <c r="D343" s="22">
        <v>26806626</v>
      </c>
      <c r="E343" s="5" cm="1">
        <f t="array" ref="E343">INDEX(Лист2!$C:$C,MATCH(1,(Лист2!$A:$A=A343)*(Лист2!$B:$B=B343),0))</f>
        <v>54</v>
      </c>
      <c r="F343" s="30" cm="1">
        <f t="array" ref="F343">INDEX(Лист2!$D:$D,MATCH(1,(Лист2!$A:$A=A343)*(Лист2!$B:$B=B343),0))</f>
        <v>16221</v>
      </c>
      <c r="G343" s="5" cm="1">
        <f t="array" ref="G343">INDEX(Лист2!$E:$E,MATCH(1,(Лист2!$A:$A=A343)*(Лист2!$B:$B=B343),0))</f>
        <v>15065</v>
      </c>
      <c r="H343" s="9">
        <f t="shared" si="10"/>
        <v>496419</v>
      </c>
      <c r="I343">
        <f t="shared" si="11"/>
        <v>21</v>
      </c>
    </row>
    <row r="344" spans="1:9" ht="14.25" hidden="1" customHeight="1" x14ac:dyDescent="0.3">
      <c r="A344" s="15">
        <v>43979</v>
      </c>
      <c r="B344" s="16" t="s">
        <v>21</v>
      </c>
      <c r="C344" s="17">
        <v>199753.5</v>
      </c>
      <c r="D344" s="18">
        <v>20535733.5</v>
      </c>
      <c r="E344" s="5" cm="1">
        <f t="array" ref="E344">INDEX(Лист2!$C:$C,MATCH(1,(Лист2!$A:$A=A344)*(Лист2!$B:$B=B344),0))</f>
        <v>60</v>
      </c>
      <c r="F344" s="30" cm="1">
        <f t="array" ref="F344">INDEX(Лист2!$D:$D,MATCH(1,(Лист2!$A:$A=A344)*(Лист2!$B:$B=B344),0))</f>
        <v>12854</v>
      </c>
      <c r="G344" s="5" cm="1">
        <f t="array" ref="G344">INDEX(Лист2!$E:$E,MATCH(1,(Лист2!$A:$A=A344)*(Лист2!$B:$B=B344),0))</f>
        <v>11954</v>
      </c>
      <c r="H344" s="9">
        <f t="shared" si="10"/>
        <v>342262.22499999998</v>
      </c>
      <c r="I344">
        <f t="shared" si="11"/>
        <v>22</v>
      </c>
    </row>
    <row r="345" spans="1:9" ht="14.25" hidden="1" customHeight="1" x14ac:dyDescent="0.3">
      <c r="A345" s="19">
        <v>43976</v>
      </c>
      <c r="B345" s="20" t="s">
        <v>22</v>
      </c>
      <c r="C345" s="21">
        <v>192948</v>
      </c>
      <c r="D345" s="22">
        <v>19806927</v>
      </c>
      <c r="E345" s="5" cm="1">
        <f t="array" ref="E345">INDEX(Лист2!$C:$C,MATCH(1,(Лист2!$A:$A=A345)*(Лист2!$B:$B=B345),0))</f>
        <v>54</v>
      </c>
      <c r="F345" s="30" cm="1">
        <f t="array" ref="F345">INDEX(Лист2!$D:$D,MATCH(1,(Лист2!$A:$A=A345)*(Лист2!$B:$B=B345),0))</f>
        <v>12336</v>
      </c>
      <c r="G345" s="5" cm="1">
        <f t="array" ref="G345">INDEX(Лист2!$E:$E,MATCH(1,(Лист2!$A:$A=A345)*(Лист2!$B:$B=B345),0))</f>
        <v>11519</v>
      </c>
      <c r="H345" s="9">
        <f t="shared" si="10"/>
        <v>366794.94444444444</v>
      </c>
      <c r="I345">
        <f t="shared" si="11"/>
        <v>22</v>
      </c>
    </row>
    <row r="346" spans="1:9" ht="14.25" hidden="1" customHeight="1" x14ac:dyDescent="0.3">
      <c r="A346" s="15">
        <v>43951</v>
      </c>
      <c r="B346" s="16" t="s">
        <v>22</v>
      </c>
      <c r="C346" s="17">
        <v>206038.5</v>
      </c>
      <c r="D346" s="18">
        <v>21740460</v>
      </c>
      <c r="E346" s="5" cm="1">
        <f t="array" ref="E346">INDEX(Лист2!$C:$C,MATCH(1,(Лист2!$A:$A=A346)*(Лист2!$B:$B=B346),0))</f>
        <v>54</v>
      </c>
      <c r="F346" s="30" cm="1">
        <f t="array" ref="F346">INDEX(Лист2!$D:$D,MATCH(1,(Лист2!$A:$A=A346)*(Лист2!$B:$B=B346),0))</f>
        <v>12817</v>
      </c>
      <c r="G346" s="5" cm="1">
        <f t="array" ref="G346">INDEX(Лист2!$E:$E,MATCH(1,(Лист2!$A:$A=A346)*(Лист2!$B:$B=B346),0))</f>
        <v>11865</v>
      </c>
      <c r="H346" s="9">
        <f t="shared" si="10"/>
        <v>402601.11111111112</v>
      </c>
      <c r="I346">
        <f t="shared" si="11"/>
        <v>18</v>
      </c>
    </row>
    <row r="347" spans="1:9" ht="14.25" hidden="1" customHeight="1" x14ac:dyDescent="0.3">
      <c r="A347" s="19">
        <v>43961</v>
      </c>
      <c r="B347" s="20" t="s">
        <v>22</v>
      </c>
      <c r="C347" s="21">
        <v>231559.5</v>
      </c>
      <c r="D347" s="22">
        <v>23443725</v>
      </c>
      <c r="E347" s="5" cm="1">
        <f t="array" ref="E347">INDEX(Лист2!$C:$C,MATCH(1,(Лист2!$A:$A=A347)*(Лист2!$B:$B=B347),0))</f>
        <v>54</v>
      </c>
      <c r="F347" s="30" cm="1">
        <f t="array" ref="F347">INDEX(Лист2!$D:$D,MATCH(1,(Лист2!$A:$A=A347)*(Лист2!$B:$B=B347),0))</f>
        <v>13832</v>
      </c>
      <c r="G347" s="5" cm="1">
        <f t="array" ref="G347">INDEX(Лист2!$E:$E,MATCH(1,(Лист2!$A:$A=A347)*(Лист2!$B:$B=B347),0))</f>
        <v>12864</v>
      </c>
      <c r="H347" s="9">
        <f t="shared" si="10"/>
        <v>434143.05555555556</v>
      </c>
      <c r="I347">
        <f t="shared" si="11"/>
        <v>19</v>
      </c>
    </row>
    <row r="348" spans="1:9" ht="14.25" hidden="1" customHeight="1" x14ac:dyDescent="0.3">
      <c r="A348" s="15">
        <v>43959</v>
      </c>
      <c r="B348" s="16" t="s">
        <v>22</v>
      </c>
      <c r="C348" s="17">
        <v>225076.5</v>
      </c>
      <c r="D348" s="18">
        <v>22846078.5</v>
      </c>
      <c r="E348" s="5" cm="1">
        <f t="array" ref="E348">INDEX(Лист2!$C:$C,MATCH(1,(Лист2!$A:$A=A348)*(Лист2!$B:$B=B348),0))</f>
        <v>54</v>
      </c>
      <c r="F348" s="30" cm="1">
        <f t="array" ref="F348">INDEX(Лист2!$D:$D,MATCH(1,(Лист2!$A:$A=A348)*(Лист2!$B:$B=B348),0))</f>
        <v>13563</v>
      </c>
      <c r="G348" s="5" cm="1">
        <f t="array" ref="G348">INDEX(Лист2!$E:$E,MATCH(1,(Лист2!$A:$A=A348)*(Лист2!$B:$B=B348),0))</f>
        <v>12604</v>
      </c>
      <c r="H348" s="9">
        <f t="shared" si="10"/>
        <v>423075.52777777775</v>
      </c>
      <c r="I348">
        <f t="shared" si="11"/>
        <v>19</v>
      </c>
    </row>
    <row r="349" spans="1:9" ht="14.25" hidden="1" customHeight="1" x14ac:dyDescent="0.3">
      <c r="A349" s="19">
        <v>43958</v>
      </c>
      <c r="B349" s="20" t="s">
        <v>22</v>
      </c>
      <c r="C349" s="21">
        <v>209415</v>
      </c>
      <c r="D349" s="22">
        <v>21463023</v>
      </c>
      <c r="E349" s="5" cm="1">
        <f t="array" ref="E349">INDEX(Лист2!$C:$C,MATCH(1,(Лист2!$A:$A=A349)*(Лист2!$B:$B=B349),0))</f>
        <v>54</v>
      </c>
      <c r="F349" s="30" cm="1">
        <f t="array" ref="F349">INDEX(Лист2!$D:$D,MATCH(1,(Лист2!$A:$A=A349)*(Лист2!$B:$B=B349),0))</f>
        <v>12743</v>
      </c>
      <c r="G349" s="5" cm="1">
        <f t="array" ref="G349">INDEX(Лист2!$E:$E,MATCH(1,(Лист2!$A:$A=A349)*(Лист2!$B:$B=B349),0))</f>
        <v>11858</v>
      </c>
      <c r="H349" s="9">
        <f t="shared" si="10"/>
        <v>397463.38888888888</v>
      </c>
      <c r="I349">
        <f t="shared" si="11"/>
        <v>19</v>
      </c>
    </row>
    <row r="350" spans="1:9" ht="14.25" hidden="1" customHeight="1" x14ac:dyDescent="0.3">
      <c r="A350" s="15">
        <v>43975</v>
      </c>
      <c r="B350" s="16" t="s">
        <v>22</v>
      </c>
      <c r="C350" s="17">
        <v>193719</v>
      </c>
      <c r="D350" s="18">
        <v>19071117</v>
      </c>
      <c r="E350" s="5" cm="1">
        <f t="array" ref="E350">INDEX(Лист2!$C:$C,MATCH(1,(Лист2!$A:$A=A350)*(Лист2!$B:$B=B350),0))</f>
        <v>54</v>
      </c>
      <c r="F350" s="30" cm="1">
        <f t="array" ref="F350">INDEX(Лист2!$D:$D,MATCH(1,(Лист2!$A:$A=A350)*(Лист2!$B:$B=B350),0))</f>
        <v>12211</v>
      </c>
      <c r="G350" s="5" cm="1">
        <f t="array" ref="G350">INDEX(Лист2!$E:$E,MATCH(1,(Лист2!$A:$A=A350)*(Лист2!$B:$B=B350),0))</f>
        <v>11427</v>
      </c>
      <c r="H350" s="9">
        <f t="shared" si="10"/>
        <v>353168.83333333331</v>
      </c>
      <c r="I350">
        <f t="shared" si="11"/>
        <v>21</v>
      </c>
    </row>
    <row r="351" spans="1:9" ht="14.25" hidden="1" customHeight="1" x14ac:dyDescent="0.3">
      <c r="A351" s="19">
        <v>43950</v>
      </c>
      <c r="B351" s="20" t="s">
        <v>23</v>
      </c>
      <c r="C351" s="21">
        <v>12250.5</v>
      </c>
      <c r="D351" s="22">
        <v>981519</v>
      </c>
      <c r="E351" s="5" cm="1">
        <f t="array" ref="E351">INDEX(Лист2!$C:$C,MATCH(1,(Лист2!$A:$A=A351)*(Лист2!$B:$B=B351),0))</f>
        <v>15</v>
      </c>
      <c r="F351" s="30" cm="1">
        <f t="array" ref="F351">INDEX(Лист2!$D:$D,MATCH(1,(Лист2!$A:$A=A351)*(Лист2!$B:$B=B351),0))</f>
        <v>659</v>
      </c>
      <c r="G351" s="5" cm="1">
        <f t="array" ref="G351">INDEX(Лист2!$E:$E,MATCH(1,(Лист2!$A:$A=A351)*(Лист2!$B:$B=B351),0))</f>
        <v>575</v>
      </c>
      <c r="H351" s="9">
        <f t="shared" si="10"/>
        <v>65434.6</v>
      </c>
      <c r="I351">
        <f t="shared" si="11"/>
        <v>18</v>
      </c>
    </row>
    <row r="352" spans="1:9" ht="14.25" hidden="1" customHeight="1" x14ac:dyDescent="0.3">
      <c r="A352" s="15">
        <v>43949</v>
      </c>
      <c r="B352" s="16" t="s">
        <v>23</v>
      </c>
      <c r="C352" s="17">
        <v>12541.5</v>
      </c>
      <c r="D352" s="18">
        <v>992541</v>
      </c>
      <c r="E352" s="5" cm="1">
        <f t="array" ref="E352">INDEX(Лист2!$C:$C,MATCH(1,(Лист2!$A:$A=A352)*(Лист2!$B:$B=B352),0))</f>
        <v>15</v>
      </c>
      <c r="F352" s="30" cm="1">
        <f t="array" ref="F352">INDEX(Лист2!$D:$D,MATCH(1,(Лист2!$A:$A=A352)*(Лист2!$B:$B=B352),0))</f>
        <v>636</v>
      </c>
      <c r="G352" s="5" cm="1">
        <f t="array" ref="G352">INDEX(Лист2!$E:$E,MATCH(1,(Лист2!$A:$A=A352)*(Лист2!$B:$B=B352),0))</f>
        <v>547</v>
      </c>
      <c r="H352" s="9">
        <f t="shared" si="10"/>
        <v>66169.399999999994</v>
      </c>
      <c r="I352">
        <f t="shared" si="11"/>
        <v>18</v>
      </c>
    </row>
    <row r="353" spans="1:9" ht="14.25" hidden="1" customHeight="1" x14ac:dyDescent="0.3">
      <c r="A353" s="19">
        <v>43982</v>
      </c>
      <c r="B353" s="20" t="s">
        <v>22</v>
      </c>
      <c r="C353" s="21">
        <v>206758.5</v>
      </c>
      <c r="D353" s="22">
        <v>20717248.5</v>
      </c>
      <c r="E353" s="5" cm="1">
        <f t="array" ref="E353">INDEX(Лист2!$C:$C,MATCH(1,(Лист2!$A:$A=A353)*(Лист2!$B:$B=B353),0))</f>
        <v>54</v>
      </c>
      <c r="F353" s="30" cm="1">
        <f t="array" ref="F353">INDEX(Лист2!$D:$D,MATCH(1,(Лист2!$A:$A=A353)*(Лист2!$B:$B=B353),0))</f>
        <v>13106</v>
      </c>
      <c r="G353" s="5" cm="1">
        <f t="array" ref="G353">INDEX(Лист2!$E:$E,MATCH(1,(Лист2!$A:$A=A353)*(Лист2!$B:$B=B353),0))</f>
        <v>12164</v>
      </c>
      <c r="H353" s="9">
        <f t="shared" si="10"/>
        <v>383652.75</v>
      </c>
      <c r="I353">
        <f t="shared" si="11"/>
        <v>22</v>
      </c>
    </row>
    <row r="354" spans="1:9" ht="14.25" hidden="1" customHeight="1" x14ac:dyDescent="0.3">
      <c r="A354" s="15">
        <v>43981</v>
      </c>
      <c r="B354" s="16" t="s">
        <v>22</v>
      </c>
      <c r="C354" s="17">
        <v>244734</v>
      </c>
      <c r="D354" s="18">
        <v>24151980</v>
      </c>
      <c r="E354" s="5" cm="1">
        <f t="array" ref="E354">INDEX(Лист2!$C:$C,MATCH(1,(Лист2!$A:$A=A354)*(Лист2!$B:$B=B354),0))</f>
        <v>54</v>
      </c>
      <c r="F354" s="30" cm="1">
        <f t="array" ref="F354">INDEX(Лист2!$D:$D,MATCH(1,(Лист2!$A:$A=A354)*(Лист2!$B:$B=B354),0))</f>
        <v>14590</v>
      </c>
      <c r="G354" s="5" cm="1">
        <f t="array" ref="G354">INDEX(Лист2!$E:$E,MATCH(1,(Лист2!$A:$A=A354)*(Лист2!$B:$B=B354),0))</f>
        <v>13551</v>
      </c>
      <c r="H354" s="9">
        <f t="shared" si="10"/>
        <v>447258.88888888888</v>
      </c>
      <c r="I354">
        <f t="shared" si="11"/>
        <v>22</v>
      </c>
    </row>
    <row r="355" spans="1:9" ht="14.25" hidden="1" customHeight="1" x14ac:dyDescent="0.3">
      <c r="A355" s="19">
        <v>43979</v>
      </c>
      <c r="B355" s="20" t="s">
        <v>22</v>
      </c>
      <c r="C355" s="21">
        <v>191641.5</v>
      </c>
      <c r="D355" s="22">
        <v>19549036.5</v>
      </c>
      <c r="E355" s="5" cm="1">
        <f t="array" ref="E355">INDEX(Лист2!$C:$C,MATCH(1,(Лист2!$A:$A=A355)*(Лист2!$B:$B=B355),0))</f>
        <v>54</v>
      </c>
      <c r="F355" s="30" cm="1">
        <f t="array" ref="F355">INDEX(Лист2!$D:$D,MATCH(1,(Лист2!$A:$A=A355)*(Лист2!$B:$B=B355),0))</f>
        <v>12409</v>
      </c>
      <c r="G355" s="5" cm="1">
        <f t="array" ref="G355">INDEX(Лист2!$E:$E,MATCH(1,(Лист2!$A:$A=A355)*(Лист2!$B:$B=B355),0))</f>
        <v>11582</v>
      </c>
      <c r="H355" s="9">
        <f t="shared" si="10"/>
        <v>362019.19444444444</v>
      </c>
      <c r="I355">
        <f t="shared" si="11"/>
        <v>22</v>
      </c>
    </row>
    <row r="356" spans="1:9" ht="14.25" hidden="1" customHeight="1" x14ac:dyDescent="0.3">
      <c r="A356" s="15">
        <v>43967</v>
      </c>
      <c r="B356" s="16" t="s">
        <v>23</v>
      </c>
      <c r="C356" s="17">
        <v>16368</v>
      </c>
      <c r="D356" s="18">
        <v>1316350.5</v>
      </c>
      <c r="E356" s="5" cm="1">
        <f t="array" ref="E356">INDEX(Лист2!$C:$C,MATCH(1,(Лист2!$A:$A=A356)*(Лист2!$B:$B=B356),0))</f>
        <v>16</v>
      </c>
      <c r="F356" s="30" cm="1">
        <f t="array" ref="F356">INDEX(Лист2!$D:$D,MATCH(1,(Лист2!$A:$A=A356)*(Лист2!$B:$B=B356),0))</f>
        <v>920</v>
      </c>
      <c r="G356" s="5" cm="1">
        <f t="array" ref="G356">INDEX(Лист2!$E:$E,MATCH(1,(Лист2!$A:$A=A356)*(Лист2!$B:$B=B356),0))</f>
        <v>818</v>
      </c>
      <c r="H356" s="9">
        <f t="shared" si="10"/>
        <v>82271.90625</v>
      </c>
      <c r="I356">
        <f t="shared" si="11"/>
        <v>20</v>
      </c>
    </row>
    <row r="357" spans="1:9" ht="14.25" hidden="1" customHeight="1" x14ac:dyDescent="0.3">
      <c r="A357" s="19">
        <v>43970</v>
      </c>
      <c r="B357" s="20" t="s">
        <v>23</v>
      </c>
      <c r="C357" s="21">
        <v>14427</v>
      </c>
      <c r="D357" s="22">
        <v>1126810.5</v>
      </c>
      <c r="E357" s="5" cm="1">
        <f t="array" ref="E357">INDEX(Лист2!$C:$C,MATCH(1,(Лист2!$A:$A=A357)*(Лист2!$B:$B=B357),0))</f>
        <v>17</v>
      </c>
      <c r="F357" s="30" cm="1">
        <f t="array" ref="F357">INDEX(Лист2!$D:$D,MATCH(1,(Лист2!$A:$A=A357)*(Лист2!$B:$B=B357),0))</f>
        <v>857</v>
      </c>
      <c r="G357" s="5" cm="1">
        <f t="array" ref="G357">INDEX(Лист2!$E:$E,MATCH(1,(Лист2!$A:$A=A357)*(Лист2!$B:$B=B357),0))</f>
        <v>757</v>
      </c>
      <c r="H357" s="9">
        <f t="shared" si="10"/>
        <v>66282.970588235301</v>
      </c>
      <c r="I357">
        <f t="shared" si="11"/>
        <v>21</v>
      </c>
    </row>
    <row r="358" spans="1:9" ht="14.25" hidden="1" customHeight="1" x14ac:dyDescent="0.3">
      <c r="A358" s="15">
        <v>43968</v>
      </c>
      <c r="B358" s="16" t="s">
        <v>23</v>
      </c>
      <c r="C358" s="17">
        <v>13440</v>
      </c>
      <c r="D358" s="18">
        <v>1157529</v>
      </c>
      <c r="E358" s="5" cm="1">
        <f t="array" ref="E358">INDEX(Лист2!$C:$C,MATCH(1,(Лист2!$A:$A=A358)*(Лист2!$B:$B=B358),0))</f>
        <v>16</v>
      </c>
      <c r="F358" s="30" cm="1">
        <f t="array" ref="F358">INDEX(Лист2!$D:$D,MATCH(1,(Лист2!$A:$A=A358)*(Лист2!$B:$B=B358),0))</f>
        <v>859</v>
      </c>
      <c r="G358" s="5" cm="1">
        <f t="array" ref="G358">INDEX(Лист2!$E:$E,MATCH(1,(Лист2!$A:$A=A358)*(Лист2!$B:$B=B358),0))</f>
        <v>746</v>
      </c>
      <c r="H358" s="9">
        <f t="shared" si="10"/>
        <v>72345.5625</v>
      </c>
      <c r="I358">
        <f t="shared" si="11"/>
        <v>20</v>
      </c>
    </row>
    <row r="359" spans="1:9" ht="14.25" hidden="1" customHeight="1" x14ac:dyDescent="0.3">
      <c r="A359" s="19">
        <v>43960</v>
      </c>
      <c r="B359" s="20" t="s">
        <v>23</v>
      </c>
      <c r="C359" s="21">
        <v>11745</v>
      </c>
      <c r="D359" s="22">
        <v>955801.5</v>
      </c>
      <c r="E359" s="5" cm="1">
        <f t="array" ref="E359">INDEX(Лист2!$C:$C,MATCH(1,(Лист2!$A:$A=A359)*(Лист2!$B:$B=B359),0))</f>
        <v>15</v>
      </c>
      <c r="F359" s="30" cm="1">
        <f t="array" ref="F359">INDEX(Лист2!$D:$D,MATCH(1,(Лист2!$A:$A=A359)*(Лист2!$B:$B=B359),0))</f>
        <v>654</v>
      </c>
      <c r="G359" s="5" cm="1">
        <f t="array" ref="G359">INDEX(Лист2!$E:$E,MATCH(1,(Лист2!$A:$A=A359)*(Лист2!$B:$B=B359),0))</f>
        <v>570</v>
      </c>
      <c r="H359" s="9">
        <f t="shared" si="10"/>
        <v>63720.1</v>
      </c>
      <c r="I359">
        <f t="shared" si="11"/>
        <v>19</v>
      </c>
    </row>
    <row r="360" spans="1:9" ht="14.25" hidden="1" customHeight="1" x14ac:dyDescent="0.3">
      <c r="A360" s="15">
        <v>43955</v>
      </c>
      <c r="B360" s="16" t="s">
        <v>23</v>
      </c>
      <c r="C360" s="17">
        <v>11062.5</v>
      </c>
      <c r="D360" s="18">
        <v>906343.5</v>
      </c>
      <c r="E360" s="5" cm="1">
        <f t="array" ref="E360">INDEX(Лист2!$C:$C,MATCH(1,(Лист2!$A:$A=A360)*(Лист2!$B:$B=B360),0))</f>
        <v>15</v>
      </c>
      <c r="F360" s="30" cm="1">
        <f t="array" ref="F360">INDEX(Лист2!$D:$D,MATCH(1,(Лист2!$A:$A=A360)*(Лист2!$B:$B=B360),0))</f>
        <v>622</v>
      </c>
      <c r="G360" s="5" cm="1">
        <f t="array" ref="G360">INDEX(Лист2!$E:$E,MATCH(1,(Лист2!$A:$A=A360)*(Лист2!$B:$B=B360),0))</f>
        <v>538</v>
      </c>
      <c r="H360" s="9">
        <f t="shared" si="10"/>
        <v>60422.9</v>
      </c>
      <c r="I360">
        <f t="shared" si="11"/>
        <v>19</v>
      </c>
    </row>
    <row r="361" spans="1:9" ht="14.25" hidden="1" customHeight="1" x14ac:dyDescent="0.3">
      <c r="A361" s="19">
        <v>43953</v>
      </c>
      <c r="B361" s="20" t="s">
        <v>23</v>
      </c>
      <c r="C361" s="21">
        <v>10018.5</v>
      </c>
      <c r="D361" s="22">
        <v>816859.5</v>
      </c>
      <c r="E361" s="5" cm="1">
        <f t="array" ref="E361">INDEX(Лист2!$C:$C,MATCH(1,(Лист2!$A:$A=A361)*(Лист2!$B:$B=B361),0))</f>
        <v>15</v>
      </c>
      <c r="F361" s="30" cm="1">
        <f t="array" ref="F361">INDEX(Лист2!$D:$D,MATCH(1,(Лист2!$A:$A=A361)*(Лист2!$B:$B=B361),0))</f>
        <v>567</v>
      </c>
      <c r="G361" s="5" cm="1">
        <f t="array" ref="G361">INDEX(Лист2!$E:$E,MATCH(1,(Лист2!$A:$A=A361)*(Лист2!$B:$B=B361),0))</f>
        <v>493</v>
      </c>
      <c r="H361" s="9">
        <f t="shared" si="10"/>
        <v>54457.3</v>
      </c>
      <c r="I361">
        <f t="shared" si="11"/>
        <v>18</v>
      </c>
    </row>
    <row r="362" spans="1:9" ht="14.25" hidden="1" customHeight="1" x14ac:dyDescent="0.3">
      <c r="A362" s="15">
        <v>43977</v>
      </c>
      <c r="B362" s="16" t="s">
        <v>24</v>
      </c>
      <c r="C362" s="17">
        <v>10437</v>
      </c>
      <c r="D362" s="18">
        <v>833815.5</v>
      </c>
      <c r="E362" s="5" cm="1">
        <f t="array" ref="E362">INDEX(Лист2!$C:$C,MATCH(1,(Лист2!$A:$A=A362)*(Лист2!$B:$B=B362),0))</f>
        <v>7</v>
      </c>
      <c r="F362" s="30" cm="1">
        <f t="array" ref="F362">INDEX(Лист2!$D:$D,MATCH(1,(Лист2!$A:$A=A362)*(Лист2!$B:$B=B362),0))</f>
        <v>577</v>
      </c>
      <c r="G362" s="5" cm="1">
        <f t="array" ref="G362">INDEX(Лист2!$E:$E,MATCH(1,(Лист2!$A:$A=A362)*(Лист2!$B:$B=B362),0))</f>
        <v>389</v>
      </c>
      <c r="H362" s="9">
        <f t="shared" si="10"/>
        <v>119116.5</v>
      </c>
      <c r="I362">
        <f t="shared" si="11"/>
        <v>22</v>
      </c>
    </row>
    <row r="363" spans="1:9" ht="14.25" hidden="1" customHeight="1" x14ac:dyDescent="0.3">
      <c r="A363" s="19">
        <v>43952</v>
      </c>
      <c r="B363" s="20" t="s">
        <v>23</v>
      </c>
      <c r="C363" s="21">
        <v>13644</v>
      </c>
      <c r="D363" s="22">
        <v>1134444</v>
      </c>
      <c r="E363" s="5" cm="1">
        <f t="array" ref="E363">INDEX(Лист2!$C:$C,MATCH(1,(Лист2!$A:$A=A363)*(Лист2!$B:$B=B363),0))</f>
        <v>15</v>
      </c>
      <c r="F363" s="30" cm="1">
        <f t="array" ref="F363">INDEX(Лист2!$D:$D,MATCH(1,(Лист2!$A:$A=A363)*(Лист2!$B:$B=B363),0))</f>
        <v>721</v>
      </c>
      <c r="G363" s="5" cm="1">
        <f t="array" ref="G363">INDEX(Лист2!$E:$E,MATCH(1,(Лист2!$A:$A=A363)*(Лист2!$B:$B=B363),0))</f>
        <v>625</v>
      </c>
      <c r="H363" s="9">
        <f t="shared" si="10"/>
        <v>75629.600000000006</v>
      </c>
      <c r="I363">
        <f t="shared" si="11"/>
        <v>18</v>
      </c>
    </row>
    <row r="364" spans="1:9" ht="14.25" hidden="1" customHeight="1" x14ac:dyDescent="0.3">
      <c r="A364" s="15">
        <v>43963</v>
      </c>
      <c r="B364" s="16" t="s">
        <v>23</v>
      </c>
      <c r="C364" s="17">
        <v>13443</v>
      </c>
      <c r="D364" s="18">
        <v>1092277.5</v>
      </c>
      <c r="E364" s="5" cm="1">
        <f t="array" ref="E364">INDEX(Лист2!$C:$C,MATCH(1,(Лист2!$A:$A=A364)*(Лист2!$B:$B=B364),0))</f>
        <v>15</v>
      </c>
      <c r="F364" s="30" cm="1">
        <f t="array" ref="F364">INDEX(Лист2!$D:$D,MATCH(1,(Лист2!$A:$A=A364)*(Лист2!$B:$B=B364),0))</f>
        <v>750</v>
      </c>
      <c r="G364" s="5" cm="1">
        <f t="array" ref="G364">INDEX(Лист2!$E:$E,MATCH(1,(Лист2!$A:$A=A364)*(Лист2!$B:$B=B364),0))</f>
        <v>659</v>
      </c>
      <c r="H364" s="9">
        <f t="shared" si="10"/>
        <v>72818.5</v>
      </c>
      <c r="I364">
        <f t="shared" si="11"/>
        <v>20</v>
      </c>
    </row>
    <row r="365" spans="1:9" ht="14.25" hidden="1" customHeight="1" x14ac:dyDescent="0.3">
      <c r="A365" s="19">
        <v>43972</v>
      </c>
      <c r="B365" s="20" t="s">
        <v>23</v>
      </c>
      <c r="C365" s="21">
        <v>14182.5</v>
      </c>
      <c r="D365" s="22">
        <v>1172574</v>
      </c>
      <c r="E365" s="5" cm="1">
        <f t="array" ref="E365">INDEX(Лист2!$C:$C,MATCH(1,(Лист2!$A:$A=A365)*(Лист2!$B:$B=B365),0))</f>
        <v>18</v>
      </c>
      <c r="F365" s="30" cm="1">
        <f t="array" ref="F365">INDEX(Лист2!$D:$D,MATCH(1,(Лист2!$A:$A=A365)*(Лист2!$B:$B=B365),0))</f>
        <v>888</v>
      </c>
      <c r="G365" s="5" cm="1">
        <f t="array" ref="G365">INDEX(Лист2!$E:$E,MATCH(1,(Лист2!$A:$A=A365)*(Лист2!$B:$B=B365),0))</f>
        <v>786</v>
      </c>
      <c r="H365" s="9">
        <f t="shared" si="10"/>
        <v>65143</v>
      </c>
      <c r="I365">
        <f t="shared" si="11"/>
        <v>21</v>
      </c>
    </row>
    <row r="366" spans="1:9" ht="14.25" hidden="1" customHeight="1" x14ac:dyDescent="0.3">
      <c r="A366" s="15">
        <v>43971</v>
      </c>
      <c r="B366" s="16" t="s">
        <v>23</v>
      </c>
      <c r="C366" s="17">
        <v>14928</v>
      </c>
      <c r="D366" s="18">
        <v>1217749.5</v>
      </c>
      <c r="E366" s="5" cm="1">
        <f t="array" ref="E366">INDEX(Лист2!$C:$C,MATCH(1,(Лист2!$A:$A=A366)*(Лист2!$B:$B=B366),0))</f>
        <v>17</v>
      </c>
      <c r="F366" s="30" cm="1">
        <f t="array" ref="F366">INDEX(Лист2!$D:$D,MATCH(1,(Лист2!$A:$A=A366)*(Лист2!$B:$B=B366),0))</f>
        <v>890</v>
      </c>
      <c r="G366" s="5" cm="1">
        <f t="array" ref="G366">INDEX(Лист2!$E:$E,MATCH(1,(Лист2!$A:$A=A366)*(Лист2!$B:$B=B366),0))</f>
        <v>794</v>
      </c>
      <c r="H366" s="9">
        <f t="shared" si="10"/>
        <v>71632.323529411762</v>
      </c>
      <c r="I366">
        <f t="shared" si="11"/>
        <v>21</v>
      </c>
    </row>
    <row r="367" spans="1:9" ht="14.25" hidden="1" customHeight="1" x14ac:dyDescent="0.3">
      <c r="A367" s="19">
        <v>43956</v>
      </c>
      <c r="B367" s="20" t="s">
        <v>23</v>
      </c>
      <c r="C367" s="21">
        <v>13941</v>
      </c>
      <c r="D367" s="22">
        <v>1145575.5</v>
      </c>
      <c r="E367" s="5" cm="1">
        <f t="array" ref="E367">INDEX(Лист2!$C:$C,MATCH(1,(Лист2!$A:$A=A367)*(Лист2!$B:$B=B367),0))</f>
        <v>15</v>
      </c>
      <c r="F367" s="30" cm="1">
        <f t="array" ref="F367">INDEX(Лист2!$D:$D,MATCH(1,(Лист2!$A:$A=A367)*(Лист2!$B:$B=B367),0))</f>
        <v>750</v>
      </c>
      <c r="G367" s="5" cm="1">
        <f t="array" ref="G367">INDEX(Лист2!$E:$E,MATCH(1,(Лист2!$A:$A=A367)*(Лист2!$B:$B=B367),0))</f>
        <v>658</v>
      </c>
      <c r="H367" s="9">
        <f t="shared" si="10"/>
        <v>76371.7</v>
      </c>
      <c r="I367">
        <f t="shared" si="11"/>
        <v>19</v>
      </c>
    </row>
    <row r="368" spans="1:9" ht="14.25" hidden="1" customHeight="1" x14ac:dyDescent="0.3">
      <c r="A368" s="15">
        <v>43964</v>
      </c>
      <c r="B368" s="16" t="s">
        <v>23</v>
      </c>
      <c r="C368" s="17">
        <v>14643</v>
      </c>
      <c r="D368" s="18">
        <v>1172691</v>
      </c>
      <c r="E368" s="5" cm="1">
        <f t="array" ref="E368">INDEX(Лист2!$C:$C,MATCH(1,(Лист2!$A:$A=A368)*(Лист2!$B:$B=B368),0))</f>
        <v>15</v>
      </c>
      <c r="F368" s="30" cm="1">
        <f t="array" ref="F368">INDEX(Лист2!$D:$D,MATCH(1,(Лист2!$A:$A=A368)*(Лист2!$B:$B=B368),0))</f>
        <v>854</v>
      </c>
      <c r="G368" s="5" cm="1">
        <f t="array" ref="G368">INDEX(Лист2!$E:$E,MATCH(1,(Лист2!$A:$A=A368)*(Лист2!$B:$B=B368),0))</f>
        <v>756</v>
      </c>
      <c r="H368" s="9">
        <f t="shared" si="10"/>
        <v>78179.399999999994</v>
      </c>
      <c r="I368">
        <f t="shared" si="11"/>
        <v>20</v>
      </c>
    </row>
    <row r="369" spans="1:9" ht="14.25" hidden="1" customHeight="1" x14ac:dyDescent="0.3">
      <c r="A369" s="19">
        <v>43954</v>
      </c>
      <c r="B369" s="20" t="s">
        <v>23</v>
      </c>
      <c r="C369" s="21">
        <v>10032</v>
      </c>
      <c r="D369" s="22">
        <v>816150</v>
      </c>
      <c r="E369" s="5" cm="1">
        <f t="array" ref="E369">INDEX(Лист2!$C:$C,MATCH(1,(Лист2!$A:$A=A369)*(Лист2!$B:$B=B369),0))</f>
        <v>15</v>
      </c>
      <c r="F369" s="30" cm="1">
        <f t="array" ref="F369">INDEX(Лист2!$D:$D,MATCH(1,(Лист2!$A:$A=A369)*(Лист2!$B:$B=B369),0))</f>
        <v>585</v>
      </c>
      <c r="G369" s="5" cm="1">
        <f t="array" ref="G369">INDEX(Лист2!$E:$E,MATCH(1,(Лист2!$A:$A=A369)*(Лист2!$B:$B=B369),0))</f>
        <v>502</v>
      </c>
      <c r="H369" s="9">
        <f t="shared" si="10"/>
        <v>54410</v>
      </c>
      <c r="I369">
        <f t="shared" si="11"/>
        <v>18</v>
      </c>
    </row>
    <row r="370" spans="1:9" ht="14.25" hidden="1" customHeight="1" x14ac:dyDescent="0.3">
      <c r="A370" s="15">
        <v>43957</v>
      </c>
      <c r="B370" s="16" t="s">
        <v>23</v>
      </c>
      <c r="C370" s="17">
        <v>12468</v>
      </c>
      <c r="D370" s="18">
        <v>1016566.5</v>
      </c>
      <c r="E370" s="5" cm="1">
        <f t="array" ref="E370">INDEX(Лист2!$C:$C,MATCH(1,(Лист2!$A:$A=A370)*(Лист2!$B:$B=B370),0))</f>
        <v>15</v>
      </c>
      <c r="F370" s="30" cm="1">
        <f t="array" ref="F370">INDEX(Лист2!$D:$D,MATCH(1,(Лист2!$A:$A=A370)*(Лист2!$B:$B=B370),0))</f>
        <v>701</v>
      </c>
      <c r="G370" s="5" cm="1">
        <f t="array" ref="G370">INDEX(Лист2!$E:$E,MATCH(1,(Лист2!$A:$A=A370)*(Лист2!$B:$B=B370),0))</f>
        <v>611</v>
      </c>
      <c r="H370" s="9">
        <f t="shared" si="10"/>
        <v>67771.100000000006</v>
      </c>
      <c r="I370">
        <f t="shared" si="11"/>
        <v>19</v>
      </c>
    </row>
    <row r="371" spans="1:9" ht="14.25" hidden="1" customHeight="1" x14ac:dyDescent="0.3">
      <c r="A371" s="19">
        <v>43974</v>
      </c>
      <c r="B371" s="20" t="s">
        <v>23</v>
      </c>
      <c r="C371" s="21">
        <v>17943</v>
      </c>
      <c r="D371" s="22">
        <v>1457391</v>
      </c>
      <c r="E371" s="5" cm="1">
        <f t="array" ref="E371">INDEX(Лист2!$C:$C,MATCH(1,(Лист2!$A:$A=A371)*(Лист2!$B:$B=B371),0))</f>
        <v>18</v>
      </c>
      <c r="F371" s="30" cm="1">
        <f t="array" ref="F371">INDEX(Лист2!$D:$D,MATCH(1,(Лист2!$A:$A=A371)*(Лист2!$B:$B=B371),0))</f>
        <v>1031</v>
      </c>
      <c r="G371" s="5" cm="1">
        <f t="array" ref="G371">INDEX(Лист2!$E:$E,MATCH(1,(Лист2!$A:$A=A371)*(Лист2!$B:$B=B371),0))</f>
        <v>918</v>
      </c>
      <c r="H371" s="9">
        <f t="shared" si="10"/>
        <v>80966.166666666672</v>
      </c>
      <c r="I371">
        <f t="shared" si="11"/>
        <v>21</v>
      </c>
    </row>
    <row r="372" spans="1:9" ht="14.25" hidden="1" customHeight="1" x14ac:dyDescent="0.3">
      <c r="A372" s="15">
        <v>43976</v>
      </c>
      <c r="B372" s="16" t="s">
        <v>23</v>
      </c>
      <c r="C372" s="17">
        <v>15807</v>
      </c>
      <c r="D372" s="18">
        <v>1326705</v>
      </c>
      <c r="E372" s="5" cm="1">
        <f t="array" ref="E372">INDEX(Лист2!$C:$C,MATCH(1,(Лист2!$A:$A=A372)*(Лист2!$B:$B=B372),0))</f>
        <v>18</v>
      </c>
      <c r="F372" s="30" cm="1">
        <f t="array" ref="F372">INDEX(Лист2!$D:$D,MATCH(1,(Лист2!$A:$A=A372)*(Лист2!$B:$B=B372),0))</f>
        <v>989</v>
      </c>
      <c r="G372" s="5" cm="1">
        <f t="array" ref="G372">INDEX(Лист2!$E:$E,MATCH(1,(Лист2!$A:$A=A372)*(Лист2!$B:$B=B372),0))</f>
        <v>887</v>
      </c>
      <c r="H372" s="9">
        <f t="shared" si="10"/>
        <v>73705.833333333328</v>
      </c>
      <c r="I372">
        <f t="shared" si="11"/>
        <v>22</v>
      </c>
    </row>
    <row r="373" spans="1:9" ht="14.25" hidden="1" customHeight="1" x14ac:dyDescent="0.3">
      <c r="A373" s="19">
        <v>43951</v>
      </c>
      <c r="B373" s="20" t="s">
        <v>23</v>
      </c>
      <c r="C373" s="21">
        <v>11976</v>
      </c>
      <c r="D373" s="22">
        <v>1004511</v>
      </c>
      <c r="E373" s="5" cm="1">
        <f t="array" ref="E373">INDEX(Лист2!$C:$C,MATCH(1,(Лист2!$A:$A=A373)*(Лист2!$B:$B=B373),0))</f>
        <v>15</v>
      </c>
      <c r="F373" s="30" cm="1">
        <f t="array" ref="F373">INDEX(Лист2!$D:$D,MATCH(1,(Лист2!$A:$A=A373)*(Лист2!$B:$B=B373),0))</f>
        <v>644</v>
      </c>
      <c r="G373" s="5" cm="1">
        <f t="array" ref="G373">INDEX(Лист2!$E:$E,MATCH(1,(Лист2!$A:$A=A373)*(Лист2!$B:$B=B373),0))</f>
        <v>550</v>
      </c>
      <c r="H373" s="9">
        <f t="shared" si="10"/>
        <v>66967.399999999994</v>
      </c>
      <c r="I373">
        <f t="shared" si="11"/>
        <v>18</v>
      </c>
    </row>
    <row r="374" spans="1:9" ht="14.25" hidden="1" customHeight="1" x14ac:dyDescent="0.3">
      <c r="A374" s="15">
        <v>43961</v>
      </c>
      <c r="B374" s="16" t="s">
        <v>23</v>
      </c>
      <c r="C374" s="17">
        <v>14566.5</v>
      </c>
      <c r="D374" s="18">
        <v>1216557</v>
      </c>
      <c r="E374" s="5" cm="1">
        <f t="array" ref="E374">INDEX(Лист2!$C:$C,MATCH(1,(Лист2!$A:$A=A374)*(Лист2!$B:$B=B374),0))</f>
        <v>15</v>
      </c>
      <c r="F374" s="30" cm="1">
        <f t="array" ref="F374">INDEX(Лист2!$D:$D,MATCH(1,(Лист2!$A:$A=A374)*(Лист2!$B:$B=B374),0))</f>
        <v>792</v>
      </c>
      <c r="G374" s="5" cm="1">
        <f t="array" ref="G374">INDEX(Лист2!$E:$E,MATCH(1,(Лист2!$A:$A=A374)*(Лист2!$B:$B=B374),0))</f>
        <v>695</v>
      </c>
      <c r="H374" s="9">
        <f t="shared" si="10"/>
        <v>81103.8</v>
      </c>
      <c r="I374">
        <f t="shared" si="11"/>
        <v>19</v>
      </c>
    </row>
    <row r="375" spans="1:9" ht="14.25" hidden="1" customHeight="1" x14ac:dyDescent="0.3">
      <c r="A375" s="19">
        <v>43959</v>
      </c>
      <c r="B375" s="20" t="s">
        <v>23</v>
      </c>
      <c r="C375" s="21">
        <v>12976.5</v>
      </c>
      <c r="D375" s="22">
        <v>1046848.5</v>
      </c>
      <c r="E375" s="5" cm="1">
        <f t="array" ref="E375">INDEX(Лист2!$C:$C,MATCH(1,(Лист2!$A:$A=A375)*(Лист2!$B:$B=B375),0))</f>
        <v>15</v>
      </c>
      <c r="F375" s="30" cm="1">
        <f t="array" ref="F375">INDEX(Лист2!$D:$D,MATCH(1,(Лист2!$A:$A=A375)*(Лист2!$B:$B=B375),0))</f>
        <v>703</v>
      </c>
      <c r="G375" s="5" cm="1">
        <f t="array" ref="G375">INDEX(Лист2!$E:$E,MATCH(1,(Лист2!$A:$A=A375)*(Лист2!$B:$B=B375),0))</f>
        <v>609</v>
      </c>
      <c r="H375" s="9">
        <f t="shared" si="10"/>
        <v>69789.899999999994</v>
      </c>
      <c r="I375">
        <f t="shared" si="11"/>
        <v>19</v>
      </c>
    </row>
    <row r="376" spans="1:9" ht="14.25" hidden="1" customHeight="1" x14ac:dyDescent="0.3">
      <c r="A376" s="15">
        <v>43958</v>
      </c>
      <c r="B376" s="16" t="s">
        <v>23</v>
      </c>
      <c r="C376" s="17">
        <v>11719.5</v>
      </c>
      <c r="D376" s="18">
        <v>965880</v>
      </c>
      <c r="E376" s="5" cm="1">
        <f t="array" ref="E376">INDEX(Лист2!$C:$C,MATCH(1,(Лист2!$A:$A=A376)*(Лист2!$B:$B=B376),0))</f>
        <v>15</v>
      </c>
      <c r="F376" s="30" cm="1">
        <f t="array" ref="F376">INDEX(Лист2!$D:$D,MATCH(1,(Лист2!$A:$A=A376)*(Лист2!$B:$B=B376),0))</f>
        <v>676</v>
      </c>
      <c r="G376" s="5" cm="1">
        <f t="array" ref="G376">INDEX(Лист2!$E:$E,MATCH(1,(Лист2!$A:$A=A376)*(Лист2!$B:$B=B376),0))</f>
        <v>591</v>
      </c>
      <c r="H376" s="9">
        <f t="shared" si="10"/>
        <v>64392</v>
      </c>
      <c r="I376">
        <f t="shared" si="11"/>
        <v>19</v>
      </c>
    </row>
    <row r="377" spans="1:9" ht="14.25" hidden="1" customHeight="1" x14ac:dyDescent="0.3">
      <c r="A377" s="19">
        <v>43975</v>
      </c>
      <c r="B377" s="20" t="s">
        <v>23</v>
      </c>
      <c r="C377" s="21">
        <v>17197.5</v>
      </c>
      <c r="D377" s="22">
        <v>1386262.5</v>
      </c>
      <c r="E377" s="5" cm="1">
        <f t="array" ref="E377">INDEX(Лист2!$C:$C,MATCH(1,(Лист2!$A:$A=A377)*(Лист2!$B:$B=B377),0))</f>
        <v>18</v>
      </c>
      <c r="F377" s="30" cm="1">
        <f t="array" ref="F377">INDEX(Лист2!$D:$D,MATCH(1,(Лист2!$A:$A=A377)*(Лист2!$B:$B=B377),0))</f>
        <v>1006</v>
      </c>
      <c r="G377" s="5" cm="1">
        <f t="array" ref="G377">INDEX(Лист2!$E:$E,MATCH(1,(Лист2!$A:$A=A377)*(Лист2!$B:$B=B377),0))</f>
        <v>904</v>
      </c>
      <c r="H377" s="9">
        <f t="shared" si="10"/>
        <v>77014.583333333328</v>
      </c>
      <c r="I377">
        <f t="shared" si="11"/>
        <v>21</v>
      </c>
    </row>
    <row r="378" spans="1:9" ht="14.25" hidden="1" customHeight="1" x14ac:dyDescent="0.3">
      <c r="A378" s="15">
        <v>43977</v>
      </c>
      <c r="B378" s="16" t="s">
        <v>23</v>
      </c>
      <c r="C378" s="17">
        <v>14419.5</v>
      </c>
      <c r="D378" s="18">
        <v>1210456.5</v>
      </c>
      <c r="E378" s="5" cm="1">
        <f t="array" ref="E378">INDEX(Лист2!$C:$C,MATCH(1,(Лист2!$A:$A=A378)*(Лист2!$B:$B=B378),0))</f>
        <v>18</v>
      </c>
      <c r="F378" s="30" cm="1">
        <f t="array" ref="F378">INDEX(Лист2!$D:$D,MATCH(1,(Лист2!$A:$A=A378)*(Лист2!$B:$B=B378),0))</f>
        <v>914</v>
      </c>
      <c r="G378" s="5" cm="1">
        <f t="array" ref="G378">INDEX(Лист2!$E:$E,MATCH(1,(Лист2!$A:$A=A378)*(Лист2!$B:$B=B378),0))</f>
        <v>804</v>
      </c>
      <c r="H378" s="9">
        <f t="shared" si="10"/>
        <v>67247.583333333328</v>
      </c>
      <c r="I378">
        <f t="shared" si="11"/>
        <v>22</v>
      </c>
    </row>
    <row r="379" spans="1:9" ht="14.25" hidden="1" customHeight="1" x14ac:dyDescent="0.3">
      <c r="A379" s="19">
        <v>43983</v>
      </c>
      <c r="B379" s="20" t="s">
        <v>9</v>
      </c>
      <c r="C379" s="21">
        <v>7816.5</v>
      </c>
      <c r="D379" s="22">
        <v>636345</v>
      </c>
      <c r="E379" s="5" cm="1">
        <f t="array" ref="E379">INDEX(Лист2!$C:$C,MATCH(1,(Лист2!$A:$A=A379)*(Лист2!$B:$B=B379),0))</f>
        <v>15</v>
      </c>
      <c r="F379" s="30" cm="1">
        <f t="array" ref="F379">INDEX(Лист2!$D:$D,MATCH(1,(Лист2!$A:$A=A379)*(Лист2!$B:$B=B379),0))</f>
        <v>453</v>
      </c>
      <c r="G379" s="5" cm="1">
        <f t="array" ref="G379">INDEX(Лист2!$E:$E,MATCH(1,(Лист2!$A:$A=A379)*(Лист2!$B:$B=B379),0))</f>
        <v>370</v>
      </c>
      <c r="H379" s="9">
        <f t="shared" si="10"/>
        <v>42423</v>
      </c>
      <c r="I379">
        <f t="shared" si="11"/>
        <v>23</v>
      </c>
    </row>
    <row r="380" spans="1:9" ht="14.25" hidden="1" customHeight="1" x14ac:dyDescent="0.3">
      <c r="A380" s="15">
        <v>43982</v>
      </c>
      <c r="B380" s="16" t="s">
        <v>25</v>
      </c>
      <c r="C380" s="17">
        <v>6409.5</v>
      </c>
      <c r="D380" s="18">
        <v>493893</v>
      </c>
      <c r="E380" s="5" cm="1">
        <f t="array" ref="E380">INDEX(Лист2!$C:$C,MATCH(1,(Лист2!$A:$A=A380)*(Лист2!$B:$B=B380),0))</f>
        <v>9</v>
      </c>
      <c r="F380" s="30" cm="1">
        <f t="array" ref="F380">INDEX(Лист2!$D:$D,MATCH(1,(Лист2!$A:$A=A380)*(Лист2!$B:$B=B380),0))</f>
        <v>345</v>
      </c>
      <c r="G380" s="5" cm="1">
        <f t="array" ref="G380">INDEX(Лист2!$E:$E,MATCH(1,(Лист2!$A:$A=A380)*(Лист2!$B:$B=B380),0))</f>
        <v>255</v>
      </c>
      <c r="H380" s="9">
        <f t="shared" si="10"/>
        <v>54877</v>
      </c>
      <c r="I380">
        <f t="shared" si="11"/>
        <v>22</v>
      </c>
    </row>
    <row r="381" spans="1:9" ht="14.25" hidden="1" customHeight="1" x14ac:dyDescent="0.3">
      <c r="A381" s="19">
        <v>43981</v>
      </c>
      <c r="B381" s="20" t="s">
        <v>24</v>
      </c>
      <c r="C381" s="21">
        <v>11220</v>
      </c>
      <c r="D381" s="22">
        <v>928675.5</v>
      </c>
      <c r="E381" s="5" cm="1">
        <f t="array" ref="E381">INDEX(Лист2!$C:$C,MATCH(1,(Лист2!$A:$A=A381)*(Лист2!$B:$B=B381),0))</f>
        <v>7</v>
      </c>
      <c r="F381" s="30" cm="1">
        <f t="array" ref="F381">INDEX(Лист2!$D:$D,MATCH(1,(Лист2!$A:$A=A381)*(Лист2!$B:$B=B381),0))</f>
        <v>532</v>
      </c>
      <c r="G381" s="5" cm="1">
        <f t="array" ref="G381">INDEX(Лист2!$E:$E,MATCH(1,(Лист2!$A:$A=A381)*(Лист2!$B:$B=B381),0))</f>
        <v>449</v>
      </c>
      <c r="H381" s="9">
        <f t="shared" si="10"/>
        <v>132667.92857142858</v>
      </c>
      <c r="I381">
        <f t="shared" si="11"/>
        <v>22</v>
      </c>
    </row>
    <row r="382" spans="1:9" ht="14.25" hidden="1" customHeight="1" x14ac:dyDescent="0.3">
      <c r="A382" s="15">
        <v>43980</v>
      </c>
      <c r="B382" s="16" t="s">
        <v>9</v>
      </c>
      <c r="C382" s="17">
        <v>8350.5</v>
      </c>
      <c r="D382" s="18">
        <v>651237</v>
      </c>
      <c r="E382" s="5" cm="1">
        <f t="array" ref="E382">INDEX(Лист2!$C:$C,MATCH(1,(Лист2!$A:$A=A382)*(Лист2!$B:$B=B382),0))</f>
        <v>15</v>
      </c>
      <c r="F382" s="30" cm="1">
        <f t="array" ref="F382">INDEX(Лист2!$D:$D,MATCH(1,(Лист2!$A:$A=A382)*(Лист2!$B:$B=B382),0))</f>
        <v>400</v>
      </c>
      <c r="G382" s="5" cm="1">
        <f t="array" ref="G382">INDEX(Лист2!$E:$E,MATCH(1,(Лист2!$A:$A=A382)*(Лист2!$B:$B=B382),0))</f>
        <v>329</v>
      </c>
      <c r="H382" s="9">
        <f t="shared" si="10"/>
        <v>43415.8</v>
      </c>
      <c r="I382">
        <f t="shared" si="11"/>
        <v>22</v>
      </c>
    </row>
    <row r="383" spans="1:9" ht="14.25" hidden="1" customHeight="1" x14ac:dyDescent="0.3">
      <c r="A383" s="19">
        <v>43979</v>
      </c>
      <c r="B383" s="20" t="s">
        <v>24</v>
      </c>
      <c r="C383" s="21">
        <v>8428.5</v>
      </c>
      <c r="D383" s="22">
        <v>694669.5</v>
      </c>
      <c r="E383" s="5" cm="1">
        <f t="array" ref="E383">INDEX(Лист2!$C:$C,MATCH(1,(Лист2!$A:$A=A383)*(Лист2!$B:$B=B383),0))</f>
        <v>7</v>
      </c>
      <c r="F383" s="30" cm="1">
        <f t="array" ref="F383">INDEX(Лист2!$D:$D,MATCH(1,(Лист2!$A:$A=A383)*(Лист2!$B:$B=B383),0))</f>
        <v>420</v>
      </c>
      <c r="G383" s="5" cm="1">
        <f t="array" ref="G383">INDEX(Лист2!$E:$E,MATCH(1,(Лист2!$A:$A=A383)*(Лист2!$B:$B=B383),0))</f>
        <v>347</v>
      </c>
      <c r="H383" s="9">
        <f t="shared" si="10"/>
        <v>99238.5</v>
      </c>
      <c r="I383">
        <f t="shared" si="11"/>
        <v>22</v>
      </c>
    </row>
    <row r="384" spans="1:9" ht="14.25" hidden="1" customHeight="1" x14ac:dyDescent="0.3">
      <c r="A384" s="15">
        <v>43978</v>
      </c>
      <c r="B384" s="16" t="s">
        <v>10</v>
      </c>
      <c r="C384" s="17">
        <v>32817</v>
      </c>
      <c r="D384" s="18">
        <v>3015751.5</v>
      </c>
      <c r="E384" s="5" cm="1">
        <f t="array" ref="E384">INDEX(Лист2!$C:$C,MATCH(1,(Лист2!$A:$A=A384)*(Лист2!$B:$B=B384),0))</f>
        <v>20</v>
      </c>
      <c r="F384" s="30" cm="1">
        <f t="array" ref="F384">INDEX(Лист2!$D:$D,MATCH(1,(Лист2!$A:$A=A384)*(Лист2!$B:$B=B384),0))</f>
        <v>2079</v>
      </c>
      <c r="G384" s="5" cm="1">
        <f t="array" ref="G384">INDEX(Лист2!$E:$E,MATCH(1,(Лист2!$A:$A=A384)*(Лист2!$B:$B=B384),0))</f>
        <v>1893</v>
      </c>
      <c r="H384" s="9">
        <f t="shared" si="10"/>
        <v>150787.57500000001</v>
      </c>
      <c r="I384">
        <f t="shared" si="11"/>
        <v>22</v>
      </c>
    </row>
    <row r="385" spans="1:9" ht="14.25" hidden="1" customHeight="1" x14ac:dyDescent="0.3">
      <c r="A385" s="19">
        <v>43973</v>
      </c>
      <c r="B385" s="20" t="s">
        <v>10</v>
      </c>
      <c r="C385" s="21">
        <v>36031.5</v>
      </c>
      <c r="D385" s="22">
        <v>3091069.5</v>
      </c>
      <c r="E385" s="5" cm="1">
        <f t="array" ref="E385">INDEX(Лист2!$C:$C,MATCH(1,(Лист2!$A:$A=A385)*(Лист2!$B:$B=B385),0))</f>
        <v>21</v>
      </c>
      <c r="F385" s="30" cm="1">
        <f t="array" ref="F385">INDEX(Лист2!$D:$D,MATCH(1,(Лист2!$A:$A=A385)*(Лист2!$B:$B=B385),0))</f>
        <v>2046</v>
      </c>
      <c r="G385" s="5" cm="1">
        <f t="array" ref="G385">INDEX(Лист2!$E:$E,MATCH(1,(Лист2!$A:$A=A385)*(Лист2!$B:$B=B385),0))</f>
        <v>1853</v>
      </c>
      <c r="H385" s="9">
        <f t="shared" si="10"/>
        <v>147193.78571428571</v>
      </c>
      <c r="I385">
        <f t="shared" si="11"/>
        <v>21</v>
      </c>
    </row>
    <row r="386" spans="1:9" ht="14.25" hidden="1" customHeight="1" x14ac:dyDescent="0.3">
      <c r="A386" s="15">
        <v>43982</v>
      </c>
      <c r="B386" s="16" t="s">
        <v>26</v>
      </c>
      <c r="C386" s="17">
        <v>5127</v>
      </c>
      <c r="D386" s="18">
        <v>468835.5</v>
      </c>
      <c r="E386" s="5" cm="1">
        <f t="array" ref="E386">INDEX(Лист2!$C:$C,MATCH(1,(Лист2!$A:$A=A386)*(Лист2!$B:$B=B386),0))</f>
        <v>6</v>
      </c>
      <c r="F386" s="30" cm="1">
        <f t="array" ref="F386">INDEX(Лист2!$D:$D,MATCH(1,(Лист2!$A:$A=A386)*(Лист2!$B:$B=B386),0))</f>
        <v>261</v>
      </c>
      <c r="G386" s="5" cm="1">
        <f t="array" ref="G386">INDEX(Лист2!$E:$E,MATCH(1,(Лист2!$A:$A=A386)*(Лист2!$B:$B=B386),0))</f>
        <v>188</v>
      </c>
      <c r="H386" s="9">
        <f t="shared" si="10"/>
        <v>78139.25</v>
      </c>
      <c r="I386">
        <f t="shared" si="11"/>
        <v>22</v>
      </c>
    </row>
    <row r="387" spans="1:9" ht="14.25" hidden="1" customHeight="1" x14ac:dyDescent="0.3">
      <c r="A387" s="19">
        <v>43962</v>
      </c>
      <c r="B387" s="20" t="s">
        <v>10</v>
      </c>
      <c r="C387" s="21">
        <v>27187.5</v>
      </c>
      <c r="D387" s="22">
        <v>2479396.5</v>
      </c>
      <c r="E387" s="5" cm="1">
        <f t="array" ref="E387">INDEX(Лист2!$C:$C,MATCH(1,(Лист2!$A:$A=A387)*(Лист2!$B:$B=B387),0))</f>
        <v>21</v>
      </c>
      <c r="F387" s="30" cm="1">
        <f t="array" ref="F387">INDEX(Лист2!$D:$D,MATCH(1,(Лист2!$A:$A=A387)*(Лист2!$B:$B=B387),0))</f>
        <v>1597</v>
      </c>
      <c r="G387" s="5" cm="1">
        <f t="array" ref="G387">INDEX(Лист2!$E:$E,MATCH(1,(Лист2!$A:$A=A387)*(Лист2!$B:$B=B387),0))</f>
        <v>1457</v>
      </c>
      <c r="H387" s="9">
        <f t="shared" ref="H387:H450" si="12">D387/E387</f>
        <v>118066.5</v>
      </c>
      <c r="I387">
        <f t="shared" ref="I387:I450" si="13">WEEKNUM(A387,2)</f>
        <v>20</v>
      </c>
    </row>
    <row r="388" spans="1:9" ht="14.25" hidden="1" customHeight="1" x14ac:dyDescent="0.3">
      <c r="A388" s="15">
        <v>43981</v>
      </c>
      <c r="B388" s="16" t="s">
        <v>23</v>
      </c>
      <c r="C388" s="17">
        <v>20688</v>
      </c>
      <c r="D388" s="18">
        <v>1773154.5</v>
      </c>
      <c r="E388" s="5" cm="1">
        <f t="array" ref="E388">INDEX(Лист2!$C:$C,MATCH(1,(Лист2!$A:$A=A388)*(Лист2!$B:$B=B388),0))</f>
        <v>18</v>
      </c>
      <c r="F388" s="30" cm="1">
        <f t="array" ref="F388">INDEX(Лист2!$D:$D,MATCH(1,(Лист2!$A:$A=A388)*(Лист2!$B:$B=B388),0))</f>
        <v>1216</v>
      </c>
      <c r="G388" s="5" cm="1">
        <f t="array" ref="G388">INDEX(Лист2!$E:$E,MATCH(1,(Лист2!$A:$A=A388)*(Лист2!$B:$B=B388),0))</f>
        <v>1101</v>
      </c>
      <c r="H388" s="9">
        <f t="shared" si="12"/>
        <v>98508.583333333328</v>
      </c>
      <c r="I388">
        <f t="shared" si="13"/>
        <v>22</v>
      </c>
    </row>
    <row r="389" spans="1:9" ht="14.25" hidden="1" customHeight="1" x14ac:dyDescent="0.3">
      <c r="A389" s="19">
        <v>43979</v>
      </c>
      <c r="B389" s="20" t="s">
        <v>23</v>
      </c>
      <c r="C389" s="21">
        <v>15678</v>
      </c>
      <c r="D389" s="22">
        <v>1387443</v>
      </c>
      <c r="E389" s="5" cm="1">
        <f t="array" ref="E389">INDEX(Лист2!$C:$C,MATCH(1,(Лист2!$A:$A=A389)*(Лист2!$B:$B=B389),0))</f>
        <v>18</v>
      </c>
      <c r="F389" s="30" cm="1">
        <f t="array" ref="F389">INDEX(Лист2!$D:$D,MATCH(1,(Лист2!$A:$A=A389)*(Лист2!$B:$B=B389),0))</f>
        <v>1020</v>
      </c>
      <c r="G389" s="5" cm="1">
        <f t="array" ref="G389">INDEX(Лист2!$E:$E,MATCH(1,(Лист2!$A:$A=A389)*(Лист2!$B:$B=B389),0))</f>
        <v>911</v>
      </c>
      <c r="H389" s="9">
        <f t="shared" si="12"/>
        <v>77080.166666666672</v>
      </c>
      <c r="I389">
        <f t="shared" si="13"/>
        <v>22</v>
      </c>
    </row>
    <row r="390" spans="1:9" ht="14.25" hidden="1" customHeight="1" x14ac:dyDescent="0.3">
      <c r="A390" s="15">
        <v>43969</v>
      </c>
      <c r="B390" s="16" t="s">
        <v>10</v>
      </c>
      <c r="C390" s="17">
        <v>31329</v>
      </c>
      <c r="D390" s="18">
        <v>2826379.5</v>
      </c>
      <c r="E390" s="5" cm="1">
        <f t="array" ref="E390">INDEX(Лист2!$C:$C,MATCH(1,(Лист2!$A:$A=A390)*(Лист2!$B:$B=B390),0))</f>
        <v>21</v>
      </c>
      <c r="F390" s="30" cm="1">
        <f t="array" ref="F390">INDEX(Лист2!$D:$D,MATCH(1,(Лист2!$A:$A=A390)*(Лист2!$B:$B=B390),0))</f>
        <v>1834</v>
      </c>
      <c r="G390" s="5" cm="1">
        <f t="array" ref="G390">INDEX(Лист2!$E:$E,MATCH(1,(Лист2!$A:$A=A390)*(Лист2!$B:$B=B390),0))</f>
        <v>1660</v>
      </c>
      <c r="H390" s="9">
        <f t="shared" si="12"/>
        <v>134589.5</v>
      </c>
      <c r="I390">
        <f t="shared" si="13"/>
        <v>21</v>
      </c>
    </row>
    <row r="391" spans="1:9" ht="14.25" hidden="1" customHeight="1" x14ac:dyDescent="0.3">
      <c r="A391" s="19">
        <v>43965</v>
      </c>
      <c r="B391" s="20" t="s">
        <v>10</v>
      </c>
      <c r="C391" s="21">
        <v>29658</v>
      </c>
      <c r="D391" s="22">
        <v>2703132</v>
      </c>
      <c r="E391" s="5" cm="1">
        <f t="array" ref="E391">INDEX(Лист2!$C:$C,MATCH(1,(Лист2!$A:$A=A391)*(Лист2!$B:$B=B391),0))</f>
        <v>21</v>
      </c>
      <c r="F391" s="30" cm="1">
        <f t="array" ref="F391">INDEX(Лист2!$D:$D,MATCH(1,(Лист2!$A:$A=A391)*(Лист2!$B:$B=B391),0))</f>
        <v>1706</v>
      </c>
      <c r="G391" s="5" cm="1">
        <f t="array" ref="G391">INDEX(Лист2!$E:$E,MATCH(1,(Лист2!$A:$A=A391)*(Лист2!$B:$B=B391),0))</f>
        <v>1548</v>
      </c>
      <c r="H391" s="9">
        <f t="shared" si="12"/>
        <v>128720.57142857143</v>
      </c>
      <c r="I391">
        <f t="shared" si="13"/>
        <v>20</v>
      </c>
    </row>
    <row r="392" spans="1:9" ht="14.25" hidden="1" customHeight="1" x14ac:dyDescent="0.3">
      <c r="A392" s="15">
        <v>43966</v>
      </c>
      <c r="B392" s="16" t="s">
        <v>10</v>
      </c>
      <c r="C392" s="17">
        <v>34150.5</v>
      </c>
      <c r="D392" s="18">
        <v>3038293.5</v>
      </c>
      <c r="E392" s="5" cm="1">
        <f t="array" ref="E392">INDEX(Лист2!$C:$C,MATCH(1,(Лист2!$A:$A=A392)*(Лист2!$B:$B=B392),0))</f>
        <v>21</v>
      </c>
      <c r="F392" s="30" cm="1">
        <f t="array" ref="F392">INDEX(Лист2!$D:$D,MATCH(1,(Лист2!$A:$A=A392)*(Лист2!$B:$B=B392),0))</f>
        <v>1926</v>
      </c>
      <c r="G392" s="5" cm="1">
        <f t="array" ref="G392">INDEX(Лист2!$E:$E,MATCH(1,(Лист2!$A:$A=A392)*(Лист2!$B:$B=B392),0))</f>
        <v>1742</v>
      </c>
      <c r="H392" s="9">
        <f t="shared" si="12"/>
        <v>144680.64285714287</v>
      </c>
      <c r="I392">
        <f t="shared" si="13"/>
        <v>20</v>
      </c>
    </row>
    <row r="393" spans="1:9" ht="14.25" hidden="1" customHeight="1" x14ac:dyDescent="0.3">
      <c r="A393" s="19">
        <v>43983</v>
      </c>
      <c r="B393" s="20" t="s">
        <v>10</v>
      </c>
      <c r="C393" s="21">
        <v>31947</v>
      </c>
      <c r="D393" s="22">
        <v>2945035.5</v>
      </c>
      <c r="E393" s="5" cm="1">
        <f t="array" ref="E393">INDEX(Лист2!$C:$C,MATCH(1,(Лист2!$A:$A=A393)*(Лист2!$B:$B=B393),0))</f>
        <v>21</v>
      </c>
      <c r="F393" s="30" cm="1">
        <f t="array" ref="F393">INDEX(Лист2!$D:$D,MATCH(1,(Лист2!$A:$A=A393)*(Лист2!$B:$B=B393),0))</f>
        <v>2025</v>
      </c>
      <c r="G393" s="5" cm="1">
        <f t="array" ref="G393">INDEX(Лист2!$E:$E,MATCH(1,(Лист2!$A:$A=A393)*(Лист2!$B:$B=B393),0))</f>
        <v>1849</v>
      </c>
      <c r="H393" s="9">
        <f t="shared" si="12"/>
        <v>140239.78571428571</v>
      </c>
      <c r="I393">
        <f t="shared" si="13"/>
        <v>23</v>
      </c>
    </row>
    <row r="394" spans="1:9" ht="14.25" hidden="1" customHeight="1" x14ac:dyDescent="0.3">
      <c r="A394" s="15">
        <v>43982</v>
      </c>
      <c r="B394" s="16" t="s">
        <v>24</v>
      </c>
      <c r="C394" s="17">
        <v>10416</v>
      </c>
      <c r="D394" s="18">
        <v>866023.5</v>
      </c>
      <c r="E394" s="5" cm="1">
        <f t="array" ref="E394">INDEX(Лист2!$C:$C,MATCH(1,(Лист2!$A:$A=A394)*(Лист2!$B:$B=B394),0))</f>
        <v>7</v>
      </c>
      <c r="F394" s="30" cm="1">
        <f t="array" ref="F394">INDEX(Лист2!$D:$D,MATCH(1,(Лист2!$A:$A=A394)*(Лист2!$B:$B=B394),0))</f>
        <v>530</v>
      </c>
      <c r="G394" s="5" cm="1">
        <f t="array" ref="G394">INDEX(Лист2!$E:$E,MATCH(1,(Лист2!$A:$A=A394)*(Лист2!$B:$B=B394),0))</f>
        <v>447</v>
      </c>
      <c r="H394" s="9">
        <f t="shared" si="12"/>
        <v>123717.64285714286</v>
      </c>
      <c r="I394">
        <f t="shared" si="13"/>
        <v>22</v>
      </c>
    </row>
    <row r="395" spans="1:9" ht="14.25" hidden="1" customHeight="1" x14ac:dyDescent="0.3">
      <c r="A395" s="19">
        <v>43980</v>
      </c>
      <c r="B395" s="20" t="s">
        <v>10</v>
      </c>
      <c r="C395" s="21">
        <v>35431.5</v>
      </c>
      <c r="D395" s="22">
        <v>3193167</v>
      </c>
      <c r="E395" s="5" cm="1">
        <f t="array" ref="E395">INDEX(Лист2!$C:$C,MATCH(1,(Лист2!$A:$A=A395)*(Лист2!$B:$B=B395),0))</f>
        <v>20</v>
      </c>
      <c r="F395" s="30" cm="1">
        <f t="array" ref="F395">INDEX(Лист2!$D:$D,MATCH(1,(Лист2!$A:$A=A395)*(Лист2!$B:$B=B395),0))</f>
        <v>2111</v>
      </c>
      <c r="G395" s="5" cm="1">
        <f t="array" ref="G395">INDEX(Лист2!$E:$E,MATCH(1,(Лист2!$A:$A=A395)*(Лист2!$B:$B=B395),0))</f>
        <v>1917</v>
      </c>
      <c r="H395" s="9">
        <f t="shared" si="12"/>
        <v>159658.35</v>
      </c>
      <c r="I395">
        <f t="shared" si="13"/>
        <v>22</v>
      </c>
    </row>
    <row r="396" spans="1:9" ht="14.25" hidden="1" customHeight="1" x14ac:dyDescent="0.3">
      <c r="A396" s="15">
        <v>43978</v>
      </c>
      <c r="B396" s="16" t="s">
        <v>11</v>
      </c>
      <c r="C396" s="17">
        <v>78544.5</v>
      </c>
      <c r="D396" s="18">
        <v>6701083.5</v>
      </c>
      <c r="E396" s="5" cm="1">
        <f t="array" ref="E396">INDEX(Лист2!$C:$C,MATCH(1,(Лист2!$A:$A=A396)*(Лист2!$B:$B=B396),0))</f>
        <v>31</v>
      </c>
      <c r="F396" s="30" cm="1">
        <f t="array" ref="F396">INDEX(Лист2!$D:$D,MATCH(1,(Лист2!$A:$A=A396)*(Лист2!$B:$B=B396),0))</f>
        <v>5330</v>
      </c>
      <c r="G396" s="5" cm="1">
        <f t="array" ref="G396">INDEX(Лист2!$E:$E,MATCH(1,(Лист2!$A:$A=A396)*(Лист2!$B:$B=B396),0))</f>
        <v>4977</v>
      </c>
      <c r="H396" s="9">
        <f t="shared" si="12"/>
        <v>216163.98387096773</v>
      </c>
      <c r="I396">
        <f t="shared" si="13"/>
        <v>22</v>
      </c>
    </row>
    <row r="397" spans="1:9" ht="14.25" hidden="1" customHeight="1" x14ac:dyDescent="0.3">
      <c r="A397" s="19">
        <v>43973</v>
      </c>
      <c r="B397" s="20" t="s">
        <v>11</v>
      </c>
      <c r="C397" s="21">
        <v>97963.5</v>
      </c>
      <c r="D397" s="22">
        <v>7728465</v>
      </c>
      <c r="E397" s="5" cm="1">
        <f t="array" ref="E397">INDEX(Лист2!$C:$C,MATCH(1,(Лист2!$A:$A=A397)*(Лист2!$B:$B=B397),0))</f>
        <v>31</v>
      </c>
      <c r="F397" s="30" cm="1">
        <f t="array" ref="F397">INDEX(Лист2!$D:$D,MATCH(1,(Лист2!$A:$A=A397)*(Лист2!$B:$B=B397),0))</f>
        <v>5965</v>
      </c>
      <c r="G397" s="5" cm="1">
        <f t="array" ref="G397">INDEX(Лист2!$E:$E,MATCH(1,(Лист2!$A:$A=A397)*(Лист2!$B:$B=B397),0))</f>
        <v>5533</v>
      </c>
      <c r="H397" s="9">
        <f t="shared" si="12"/>
        <v>249305.32258064515</v>
      </c>
      <c r="I397">
        <f t="shared" si="13"/>
        <v>21</v>
      </c>
    </row>
    <row r="398" spans="1:9" ht="14.25" hidden="1" customHeight="1" x14ac:dyDescent="0.3">
      <c r="A398" s="15">
        <v>43983</v>
      </c>
      <c r="B398" s="16" t="s">
        <v>11</v>
      </c>
      <c r="C398" s="17">
        <v>77269.5</v>
      </c>
      <c r="D398" s="18">
        <v>6829921.5</v>
      </c>
      <c r="E398" s="5" cm="1">
        <f t="array" ref="E398">INDEX(Лист2!$C:$C,MATCH(1,(Лист2!$A:$A=A398)*(Лист2!$B:$B=B398),0))</f>
        <v>31</v>
      </c>
      <c r="F398" s="30" cm="1">
        <f t="array" ref="F398">INDEX(Лист2!$D:$D,MATCH(1,(Лист2!$A:$A=A398)*(Лист2!$B:$B=B398),0))</f>
        <v>5468</v>
      </c>
      <c r="G398" s="5" cm="1">
        <f t="array" ref="G398">INDEX(Лист2!$E:$E,MATCH(1,(Лист2!$A:$A=A398)*(Лист2!$B:$B=B398),0))</f>
        <v>5081</v>
      </c>
      <c r="H398" s="9">
        <f t="shared" si="12"/>
        <v>220320.04838709679</v>
      </c>
      <c r="I398">
        <f t="shared" si="13"/>
        <v>23</v>
      </c>
    </row>
    <row r="399" spans="1:9" ht="14.25" hidden="1" customHeight="1" x14ac:dyDescent="0.3">
      <c r="A399" s="19">
        <v>43982</v>
      </c>
      <c r="B399" s="20" t="s">
        <v>23</v>
      </c>
      <c r="C399" s="21">
        <v>16143</v>
      </c>
      <c r="D399" s="22">
        <v>1423410</v>
      </c>
      <c r="E399" s="5" cm="1">
        <f t="array" ref="E399">INDEX(Лист2!$C:$C,MATCH(1,(Лист2!$A:$A=A399)*(Лист2!$B:$B=B399),0))</f>
        <v>18</v>
      </c>
      <c r="F399" s="30" cm="1">
        <f t="array" ref="F399">INDEX(Лист2!$D:$D,MATCH(1,(Лист2!$A:$A=A399)*(Лист2!$B:$B=B399),0))</f>
        <v>1029</v>
      </c>
      <c r="G399" s="5" cm="1">
        <f t="array" ref="G399">INDEX(Лист2!$E:$E,MATCH(1,(Лист2!$A:$A=A399)*(Лист2!$B:$B=B399),0))</f>
        <v>925</v>
      </c>
      <c r="H399" s="9">
        <f t="shared" si="12"/>
        <v>79078.333333333328</v>
      </c>
      <c r="I399">
        <f t="shared" si="13"/>
        <v>22</v>
      </c>
    </row>
    <row r="400" spans="1:9" ht="14.25" hidden="1" customHeight="1" x14ac:dyDescent="0.3">
      <c r="A400" s="15">
        <v>43962</v>
      </c>
      <c r="B400" s="16" t="s">
        <v>11</v>
      </c>
      <c r="C400" s="17">
        <v>72220.5</v>
      </c>
      <c r="D400" s="18">
        <v>6398719.5</v>
      </c>
      <c r="E400" s="5" cm="1">
        <f t="array" ref="E400">INDEX(Лист2!$C:$C,MATCH(1,(Лист2!$A:$A=A400)*(Лист2!$B:$B=B400),0))</f>
        <v>31</v>
      </c>
      <c r="F400" s="30" cm="1">
        <f t="array" ref="F400">INDEX(Лист2!$D:$D,MATCH(1,(Лист2!$A:$A=A400)*(Лист2!$B:$B=B400),0))</f>
        <v>4826</v>
      </c>
      <c r="G400" s="5" cm="1">
        <f t="array" ref="G400">INDEX(Лист2!$E:$E,MATCH(1,(Лист2!$A:$A=A400)*(Лист2!$B:$B=B400),0))</f>
        <v>4483</v>
      </c>
      <c r="H400" s="9">
        <f t="shared" si="12"/>
        <v>206410.30645161291</v>
      </c>
      <c r="I400">
        <f t="shared" si="13"/>
        <v>20</v>
      </c>
    </row>
    <row r="401" spans="1:9" ht="14.25" hidden="1" customHeight="1" x14ac:dyDescent="0.3">
      <c r="A401" s="19">
        <v>43969</v>
      </c>
      <c r="B401" s="20" t="s">
        <v>11</v>
      </c>
      <c r="C401" s="21">
        <v>78058.5</v>
      </c>
      <c r="D401" s="22">
        <v>6609714</v>
      </c>
      <c r="E401" s="5" cm="1">
        <f t="array" ref="E401">INDEX(Лист2!$C:$C,MATCH(1,(Лист2!$A:$A=A401)*(Лист2!$B:$B=B401),0))</f>
        <v>31</v>
      </c>
      <c r="F401" s="30" cm="1">
        <f t="array" ref="F401">INDEX(Лист2!$D:$D,MATCH(1,(Лист2!$A:$A=A401)*(Лист2!$B:$B=B401),0))</f>
        <v>5165</v>
      </c>
      <c r="G401" s="5" cm="1">
        <f t="array" ref="G401">INDEX(Лист2!$E:$E,MATCH(1,(Лист2!$A:$A=A401)*(Лист2!$B:$B=B401),0))</f>
        <v>4813</v>
      </c>
      <c r="H401" s="9">
        <f t="shared" si="12"/>
        <v>213216.5806451613</v>
      </c>
      <c r="I401">
        <f t="shared" si="13"/>
        <v>21</v>
      </c>
    </row>
    <row r="402" spans="1:9" ht="14.25" hidden="1" customHeight="1" x14ac:dyDescent="0.3">
      <c r="A402" s="15">
        <v>43965</v>
      </c>
      <c r="B402" s="16" t="s">
        <v>11</v>
      </c>
      <c r="C402" s="17">
        <v>70498.5</v>
      </c>
      <c r="D402" s="18">
        <v>6053649</v>
      </c>
      <c r="E402" s="5" cm="1">
        <f t="array" ref="E402">INDEX(Лист2!$C:$C,MATCH(1,(Лист2!$A:$A=A402)*(Лист2!$B:$B=B402),0))</f>
        <v>31</v>
      </c>
      <c r="F402" s="30" cm="1">
        <f t="array" ref="F402">INDEX(Лист2!$D:$D,MATCH(1,(Лист2!$A:$A=A402)*(Лист2!$B:$B=B402),0))</f>
        <v>4695</v>
      </c>
      <c r="G402" s="5" cm="1">
        <f t="array" ref="G402">INDEX(Лист2!$E:$E,MATCH(1,(Лист2!$A:$A=A402)*(Лист2!$B:$B=B402),0))</f>
        <v>4372</v>
      </c>
      <c r="H402" s="9">
        <f t="shared" si="12"/>
        <v>195279</v>
      </c>
      <c r="I402">
        <f t="shared" si="13"/>
        <v>20</v>
      </c>
    </row>
    <row r="403" spans="1:9" ht="14.25" hidden="1" customHeight="1" x14ac:dyDescent="0.3">
      <c r="A403" s="19">
        <v>43966</v>
      </c>
      <c r="B403" s="20" t="s">
        <v>11</v>
      </c>
      <c r="C403" s="21">
        <v>78961.5</v>
      </c>
      <c r="D403" s="22">
        <v>6876454.5</v>
      </c>
      <c r="E403" s="5" cm="1">
        <f t="array" ref="E403">INDEX(Лист2!$C:$C,MATCH(1,(Лист2!$A:$A=A403)*(Лист2!$B:$B=B403),0))</f>
        <v>31</v>
      </c>
      <c r="F403" s="30" cm="1">
        <f t="array" ref="F403">INDEX(Лист2!$D:$D,MATCH(1,(Лист2!$A:$A=A403)*(Лист2!$B:$B=B403),0))</f>
        <v>5184</v>
      </c>
      <c r="G403" s="5" cm="1">
        <f t="array" ref="G403">INDEX(Лист2!$E:$E,MATCH(1,(Лист2!$A:$A=A403)*(Лист2!$B:$B=B403),0))</f>
        <v>4778</v>
      </c>
      <c r="H403" s="9">
        <f t="shared" si="12"/>
        <v>221821.11290322582</v>
      </c>
      <c r="I403">
        <f t="shared" si="13"/>
        <v>20</v>
      </c>
    </row>
    <row r="404" spans="1:9" ht="14.25" hidden="1" customHeight="1" x14ac:dyDescent="0.3">
      <c r="A404" s="15">
        <v>43978</v>
      </c>
      <c r="B404" s="16" t="s">
        <v>12</v>
      </c>
      <c r="C404" s="17">
        <v>12490.5</v>
      </c>
      <c r="D404" s="18">
        <v>1054798.5</v>
      </c>
      <c r="E404" s="5" cm="1">
        <f t="array" ref="E404">INDEX(Лист2!$C:$C,MATCH(1,(Лист2!$A:$A=A404)*(Лист2!$B:$B=B404),0))</f>
        <v>10</v>
      </c>
      <c r="F404" s="30" cm="1">
        <f t="array" ref="F404">INDEX(Лист2!$D:$D,MATCH(1,(Лист2!$A:$A=A404)*(Лист2!$B:$B=B404),0))</f>
        <v>757</v>
      </c>
      <c r="G404" s="5" cm="1">
        <f t="array" ref="G404">INDEX(Лист2!$E:$E,MATCH(1,(Лист2!$A:$A=A404)*(Лист2!$B:$B=B404),0))</f>
        <v>660</v>
      </c>
      <c r="H404" s="9">
        <f t="shared" si="12"/>
        <v>105479.85</v>
      </c>
      <c r="I404">
        <f t="shared" si="13"/>
        <v>22</v>
      </c>
    </row>
    <row r="405" spans="1:9" ht="14.25" hidden="1" customHeight="1" x14ac:dyDescent="0.3">
      <c r="A405" s="19">
        <v>43973</v>
      </c>
      <c r="B405" s="20" t="s">
        <v>12</v>
      </c>
      <c r="C405" s="21">
        <v>18036</v>
      </c>
      <c r="D405" s="22">
        <v>1455049.5</v>
      </c>
      <c r="E405" s="5" cm="1">
        <f t="array" ref="E405">INDEX(Лист2!$C:$C,MATCH(1,(Лист2!$A:$A=A405)*(Лист2!$B:$B=B405),0))</f>
        <v>10</v>
      </c>
      <c r="F405" s="30" cm="1">
        <f t="array" ref="F405">INDEX(Лист2!$D:$D,MATCH(1,(Лист2!$A:$A=A405)*(Лист2!$B:$B=B405),0))</f>
        <v>965</v>
      </c>
      <c r="G405" s="5" cm="1">
        <f t="array" ref="G405">INDEX(Лист2!$E:$E,MATCH(1,(Лист2!$A:$A=A405)*(Лист2!$B:$B=B405),0))</f>
        <v>861</v>
      </c>
      <c r="H405" s="9">
        <f t="shared" si="12"/>
        <v>145504.95000000001</v>
      </c>
      <c r="I405">
        <f t="shared" si="13"/>
        <v>21</v>
      </c>
    </row>
    <row r="406" spans="1:9" ht="14.25" hidden="1" customHeight="1" x14ac:dyDescent="0.3">
      <c r="A406" s="15">
        <v>43983</v>
      </c>
      <c r="B406" s="16" t="s">
        <v>12</v>
      </c>
      <c r="C406" s="17">
        <v>11416.5</v>
      </c>
      <c r="D406" s="18">
        <v>1007742</v>
      </c>
      <c r="E406" s="5" cm="1">
        <f t="array" ref="E406">INDEX(Лист2!$C:$C,MATCH(1,(Лист2!$A:$A=A406)*(Лист2!$B:$B=B406),0))</f>
        <v>10</v>
      </c>
      <c r="F406" s="30" cm="1">
        <f t="array" ref="F406">INDEX(Лист2!$D:$D,MATCH(1,(Лист2!$A:$A=A406)*(Лист2!$B:$B=B406),0))</f>
        <v>719</v>
      </c>
      <c r="G406" s="5" cm="1">
        <f t="array" ref="G406">INDEX(Лист2!$E:$E,MATCH(1,(Лист2!$A:$A=A406)*(Лист2!$B:$B=B406),0))</f>
        <v>627</v>
      </c>
      <c r="H406" s="9">
        <f t="shared" si="12"/>
        <v>100774.2</v>
      </c>
      <c r="I406">
        <f t="shared" si="13"/>
        <v>23</v>
      </c>
    </row>
    <row r="407" spans="1:9" ht="14.25" hidden="1" customHeight="1" x14ac:dyDescent="0.3">
      <c r="A407" s="19">
        <v>43962</v>
      </c>
      <c r="B407" s="20" t="s">
        <v>12</v>
      </c>
      <c r="C407" s="21">
        <v>9007.5</v>
      </c>
      <c r="D407" s="22">
        <v>734335.5</v>
      </c>
      <c r="E407" s="5" cm="1">
        <f t="array" ref="E407">INDEX(Лист2!$C:$C,MATCH(1,(Лист2!$A:$A=A407)*(Лист2!$B:$B=B407),0))</f>
        <v>10</v>
      </c>
      <c r="F407" s="30" cm="1">
        <f t="array" ref="F407">INDEX(Лист2!$D:$D,MATCH(1,(Лист2!$A:$A=A407)*(Лист2!$B:$B=B407),0))</f>
        <v>494</v>
      </c>
      <c r="G407" s="5" cm="1">
        <f t="array" ref="G407">INDEX(Лист2!$E:$E,MATCH(1,(Лист2!$A:$A=A407)*(Лист2!$B:$B=B407),0))</f>
        <v>421</v>
      </c>
      <c r="H407" s="9">
        <f t="shared" si="12"/>
        <v>73433.55</v>
      </c>
      <c r="I407">
        <f t="shared" si="13"/>
        <v>20</v>
      </c>
    </row>
    <row r="408" spans="1:9" ht="14.25" hidden="1" customHeight="1" x14ac:dyDescent="0.3">
      <c r="A408" s="15">
        <v>43980</v>
      </c>
      <c r="B408" s="16" t="s">
        <v>11</v>
      </c>
      <c r="C408" s="17">
        <v>87552</v>
      </c>
      <c r="D408" s="18">
        <v>7387116</v>
      </c>
      <c r="E408" s="5" cm="1">
        <f t="array" ref="E408">INDEX(Лист2!$C:$C,MATCH(1,(Лист2!$A:$A=A408)*(Лист2!$B:$B=B408),0))</f>
        <v>31</v>
      </c>
      <c r="F408" s="30" cm="1">
        <f t="array" ref="F408">INDEX(Лист2!$D:$D,MATCH(1,(Лист2!$A:$A=A408)*(Лист2!$B:$B=B408),0))</f>
        <v>5751</v>
      </c>
      <c r="G408" s="5" cm="1">
        <f t="array" ref="G408">INDEX(Лист2!$E:$E,MATCH(1,(Лист2!$A:$A=A408)*(Лист2!$B:$B=B408),0))</f>
        <v>5319</v>
      </c>
      <c r="H408" s="9">
        <f t="shared" si="12"/>
        <v>238294.06451612903</v>
      </c>
      <c r="I408">
        <f t="shared" si="13"/>
        <v>22</v>
      </c>
    </row>
    <row r="409" spans="1:9" ht="14.25" hidden="1" customHeight="1" x14ac:dyDescent="0.3">
      <c r="A409" s="19">
        <v>43969</v>
      </c>
      <c r="B409" s="20" t="s">
        <v>12</v>
      </c>
      <c r="C409" s="21">
        <v>11680.5</v>
      </c>
      <c r="D409" s="22">
        <v>936427.5</v>
      </c>
      <c r="E409" s="5" cm="1">
        <f t="array" ref="E409">INDEX(Лист2!$C:$C,MATCH(1,(Лист2!$A:$A=A409)*(Лист2!$B:$B=B409),0))</f>
        <v>10</v>
      </c>
      <c r="F409" s="30" cm="1">
        <f t="array" ref="F409">INDEX(Лист2!$D:$D,MATCH(1,(Лист2!$A:$A=A409)*(Лист2!$B:$B=B409),0))</f>
        <v>645</v>
      </c>
      <c r="G409" s="5" cm="1">
        <f t="array" ref="G409">INDEX(Лист2!$E:$E,MATCH(1,(Лист2!$A:$A=A409)*(Лист2!$B:$B=B409),0))</f>
        <v>565</v>
      </c>
      <c r="H409" s="9">
        <f t="shared" si="12"/>
        <v>93642.75</v>
      </c>
      <c r="I409">
        <f t="shared" si="13"/>
        <v>21</v>
      </c>
    </row>
    <row r="410" spans="1:9" ht="14.25" hidden="1" customHeight="1" x14ac:dyDescent="0.3">
      <c r="A410" s="15">
        <v>43965</v>
      </c>
      <c r="B410" s="16" t="s">
        <v>12</v>
      </c>
      <c r="C410" s="17">
        <v>12037.5</v>
      </c>
      <c r="D410" s="18">
        <v>981564</v>
      </c>
      <c r="E410" s="5" cm="1">
        <f t="array" ref="E410">INDEX(Лист2!$C:$C,MATCH(1,(Лист2!$A:$A=A410)*(Лист2!$B:$B=B410),0))</f>
        <v>10</v>
      </c>
      <c r="F410" s="30" cm="1">
        <f t="array" ref="F410">INDEX(Лист2!$D:$D,MATCH(1,(Лист2!$A:$A=A410)*(Лист2!$B:$B=B410),0))</f>
        <v>627</v>
      </c>
      <c r="G410" s="5" cm="1">
        <f t="array" ref="G410">INDEX(Лист2!$E:$E,MATCH(1,(Лист2!$A:$A=A410)*(Лист2!$B:$B=B410),0))</f>
        <v>545</v>
      </c>
      <c r="H410" s="9">
        <f t="shared" si="12"/>
        <v>98156.4</v>
      </c>
      <c r="I410">
        <f t="shared" si="13"/>
        <v>20</v>
      </c>
    </row>
    <row r="411" spans="1:9" ht="14.25" hidden="1" customHeight="1" x14ac:dyDescent="0.3">
      <c r="A411" s="19">
        <v>43966</v>
      </c>
      <c r="B411" s="20" t="s">
        <v>12</v>
      </c>
      <c r="C411" s="21">
        <v>14421</v>
      </c>
      <c r="D411" s="22">
        <v>1150579.5</v>
      </c>
      <c r="E411" s="5" cm="1">
        <f t="array" ref="E411">INDEX(Лист2!$C:$C,MATCH(1,(Лист2!$A:$A=A411)*(Лист2!$B:$B=B411),0))</f>
        <v>10</v>
      </c>
      <c r="F411" s="30" cm="1">
        <f t="array" ref="F411">INDEX(Лист2!$D:$D,MATCH(1,(Лист2!$A:$A=A411)*(Лист2!$B:$B=B411),0))</f>
        <v>743</v>
      </c>
      <c r="G411" s="5" cm="1">
        <f t="array" ref="G411">INDEX(Лист2!$E:$E,MATCH(1,(Лист2!$A:$A=A411)*(Лист2!$B:$B=B411),0))</f>
        <v>652</v>
      </c>
      <c r="H411" s="9">
        <f t="shared" si="12"/>
        <v>115057.95</v>
      </c>
      <c r="I411">
        <f t="shared" si="13"/>
        <v>20</v>
      </c>
    </row>
    <row r="412" spans="1:9" ht="14.25" hidden="1" customHeight="1" x14ac:dyDescent="0.3">
      <c r="A412" s="15">
        <v>43980</v>
      </c>
      <c r="B412" s="16" t="s">
        <v>12</v>
      </c>
      <c r="C412" s="17">
        <v>14823</v>
      </c>
      <c r="D412" s="18">
        <v>1273464</v>
      </c>
      <c r="E412" s="5" cm="1">
        <f t="array" ref="E412">INDEX(Лист2!$C:$C,MATCH(1,(Лист2!$A:$A=A412)*(Лист2!$B:$B=B412),0))</f>
        <v>10</v>
      </c>
      <c r="F412" s="30" cm="1">
        <f t="array" ref="F412">INDEX(Лист2!$D:$D,MATCH(1,(Лист2!$A:$A=A412)*(Лист2!$B:$B=B412),0))</f>
        <v>873</v>
      </c>
      <c r="G412" s="5" cm="1">
        <f t="array" ref="G412">INDEX(Лист2!$E:$E,MATCH(1,(Лист2!$A:$A=A412)*(Лист2!$B:$B=B412),0))</f>
        <v>770</v>
      </c>
      <c r="H412" s="9">
        <f t="shared" si="12"/>
        <v>127346.4</v>
      </c>
      <c r="I412">
        <f t="shared" si="13"/>
        <v>22</v>
      </c>
    </row>
    <row r="413" spans="1:9" ht="14.25" hidden="1" customHeight="1" x14ac:dyDescent="0.3">
      <c r="A413" s="19">
        <v>43978</v>
      </c>
      <c r="B413" s="20" t="s">
        <v>13</v>
      </c>
      <c r="C413" s="21">
        <v>31257</v>
      </c>
      <c r="D413" s="22">
        <v>2924133</v>
      </c>
      <c r="E413" s="5" cm="1">
        <f t="array" ref="E413">INDEX(Лист2!$C:$C,MATCH(1,(Лист2!$A:$A=A413)*(Лист2!$B:$B=B413),0))</f>
        <v>20</v>
      </c>
      <c r="F413" s="30" cm="1">
        <f t="array" ref="F413">INDEX(Лист2!$D:$D,MATCH(1,(Лист2!$A:$A=A413)*(Лист2!$B:$B=B413),0))</f>
        <v>2079</v>
      </c>
      <c r="G413" s="5" cm="1">
        <f t="array" ref="G413">INDEX(Лист2!$E:$E,MATCH(1,(Лист2!$A:$A=A413)*(Лист2!$B:$B=B413),0))</f>
        <v>1856</v>
      </c>
      <c r="H413" s="9">
        <f t="shared" si="12"/>
        <v>146206.65</v>
      </c>
      <c r="I413">
        <f t="shared" si="13"/>
        <v>22</v>
      </c>
    </row>
    <row r="414" spans="1:9" ht="14.25" hidden="1" customHeight="1" x14ac:dyDescent="0.3">
      <c r="A414" s="15">
        <v>43973</v>
      </c>
      <c r="B414" s="16" t="s">
        <v>13</v>
      </c>
      <c r="C414" s="17">
        <v>38074.5</v>
      </c>
      <c r="D414" s="18">
        <v>3414180</v>
      </c>
      <c r="E414" s="5" cm="1">
        <f t="array" ref="E414">INDEX(Лист2!$C:$C,MATCH(1,(Лист2!$A:$A=A414)*(Лист2!$B:$B=B414),0))</f>
        <v>20</v>
      </c>
      <c r="F414" s="30" cm="1">
        <f t="array" ref="F414">INDEX(Лист2!$D:$D,MATCH(1,(Лист2!$A:$A=A414)*(Лист2!$B:$B=B414),0))</f>
        <v>2306</v>
      </c>
      <c r="G414" s="5" cm="1">
        <f t="array" ref="G414">INDEX(Лист2!$E:$E,MATCH(1,(Лист2!$A:$A=A414)*(Лист2!$B:$B=B414),0))</f>
        <v>2054</v>
      </c>
      <c r="H414" s="9">
        <f t="shared" si="12"/>
        <v>170709</v>
      </c>
      <c r="I414">
        <f t="shared" si="13"/>
        <v>21</v>
      </c>
    </row>
    <row r="415" spans="1:9" ht="14.25" hidden="1" customHeight="1" x14ac:dyDescent="0.3">
      <c r="A415" s="19">
        <v>43983</v>
      </c>
      <c r="B415" s="20" t="s">
        <v>13</v>
      </c>
      <c r="C415" s="21">
        <v>32170.5</v>
      </c>
      <c r="D415" s="22">
        <v>3013512</v>
      </c>
      <c r="E415" s="5" cm="1">
        <f t="array" ref="E415">INDEX(Лист2!$C:$C,MATCH(1,(Лист2!$A:$A=A415)*(Лист2!$B:$B=B415),0))</f>
        <v>20</v>
      </c>
      <c r="F415" s="30" cm="1">
        <f t="array" ref="F415">INDEX(Лист2!$D:$D,MATCH(1,(Лист2!$A:$A=A415)*(Лист2!$B:$B=B415),0))</f>
        <v>2136</v>
      </c>
      <c r="G415" s="5" cm="1">
        <f t="array" ref="G415">INDEX(Лист2!$E:$E,MATCH(1,(Лист2!$A:$A=A415)*(Лист2!$B:$B=B415),0))</f>
        <v>1899</v>
      </c>
      <c r="H415" s="9">
        <f t="shared" si="12"/>
        <v>150675.6</v>
      </c>
      <c r="I415">
        <f t="shared" si="13"/>
        <v>23</v>
      </c>
    </row>
    <row r="416" spans="1:9" ht="14.25" hidden="1" customHeight="1" x14ac:dyDescent="0.3">
      <c r="A416" s="15">
        <v>43962</v>
      </c>
      <c r="B416" s="16" t="s">
        <v>13</v>
      </c>
      <c r="C416" s="17">
        <v>42397.5</v>
      </c>
      <c r="D416" s="18">
        <v>3911979</v>
      </c>
      <c r="E416" s="5" cm="1">
        <f t="array" ref="E416">INDEX(Лист2!$C:$C,MATCH(1,(Лист2!$A:$A=A416)*(Лист2!$B:$B=B416),0))</f>
        <v>19</v>
      </c>
      <c r="F416" s="30" cm="1">
        <f t="array" ref="F416">INDEX(Лист2!$D:$D,MATCH(1,(Лист2!$A:$A=A416)*(Лист2!$B:$B=B416),0))</f>
        <v>2530</v>
      </c>
      <c r="G416" s="5" cm="1">
        <f t="array" ref="G416">INDEX(Лист2!$E:$E,MATCH(1,(Лист2!$A:$A=A416)*(Лист2!$B:$B=B416),0))</f>
        <v>2270</v>
      </c>
      <c r="H416" s="9">
        <f t="shared" si="12"/>
        <v>205893.63157894736</v>
      </c>
      <c r="I416">
        <f t="shared" si="13"/>
        <v>20</v>
      </c>
    </row>
    <row r="417" spans="1:9" ht="14.25" hidden="1" customHeight="1" x14ac:dyDescent="0.3">
      <c r="A417" s="19">
        <v>43969</v>
      </c>
      <c r="B417" s="20" t="s">
        <v>13</v>
      </c>
      <c r="C417" s="21">
        <v>28668</v>
      </c>
      <c r="D417" s="22">
        <v>2588148</v>
      </c>
      <c r="E417" s="5" cm="1">
        <f t="array" ref="E417">INDEX(Лист2!$C:$C,MATCH(1,(Лист2!$A:$A=A417)*(Лист2!$B:$B=B417),0))</f>
        <v>19</v>
      </c>
      <c r="F417" s="30" cm="1">
        <f t="array" ref="F417">INDEX(Лист2!$D:$D,MATCH(1,(Лист2!$A:$A=A417)*(Лист2!$B:$B=B417),0))</f>
        <v>1858</v>
      </c>
      <c r="G417" s="5" cm="1">
        <f t="array" ref="G417">INDEX(Лист2!$E:$E,MATCH(1,(Лист2!$A:$A=A417)*(Лист2!$B:$B=B417),0))</f>
        <v>1648</v>
      </c>
      <c r="H417" s="9">
        <f t="shared" si="12"/>
        <v>136218.31578947368</v>
      </c>
      <c r="I417">
        <f t="shared" si="13"/>
        <v>21</v>
      </c>
    </row>
    <row r="418" spans="1:9" ht="14.25" hidden="1" customHeight="1" x14ac:dyDescent="0.3">
      <c r="A418" s="15">
        <v>43965</v>
      </c>
      <c r="B418" s="16" t="s">
        <v>13</v>
      </c>
      <c r="C418" s="17">
        <v>27411</v>
      </c>
      <c r="D418" s="18">
        <v>2441520</v>
      </c>
      <c r="E418" s="5" cm="1">
        <f t="array" ref="E418">INDEX(Лист2!$C:$C,MATCH(1,(Лист2!$A:$A=A418)*(Лист2!$B:$B=B418),0))</f>
        <v>19</v>
      </c>
      <c r="F418" s="30" cm="1">
        <f t="array" ref="F418">INDEX(Лист2!$D:$D,MATCH(1,(Лист2!$A:$A=A418)*(Лист2!$B:$B=B418),0))</f>
        <v>1675</v>
      </c>
      <c r="G418" s="5" cm="1">
        <f t="array" ref="G418">INDEX(Лист2!$E:$E,MATCH(1,(Лист2!$A:$A=A418)*(Лист2!$B:$B=B418),0))</f>
        <v>1475</v>
      </c>
      <c r="H418" s="9">
        <f t="shared" si="12"/>
        <v>128501.05263157895</v>
      </c>
      <c r="I418">
        <f t="shared" si="13"/>
        <v>20</v>
      </c>
    </row>
    <row r="419" spans="1:9" ht="14.25" hidden="1" customHeight="1" x14ac:dyDescent="0.3">
      <c r="A419" s="19">
        <v>43966</v>
      </c>
      <c r="B419" s="20" t="s">
        <v>13</v>
      </c>
      <c r="C419" s="21">
        <v>32854.5</v>
      </c>
      <c r="D419" s="22">
        <v>2949078</v>
      </c>
      <c r="E419" s="5" cm="1">
        <f t="array" ref="E419">INDEX(Лист2!$C:$C,MATCH(1,(Лист2!$A:$A=A419)*(Лист2!$B:$B=B419),0))</f>
        <v>19</v>
      </c>
      <c r="F419" s="30" cm="1">
        <f t="array" ref="F419">INDEX(Лист2!$D:$D,MATCH(1,(Лист2!$A:$A=A419)*(Лист2!$B:$B=B419),0))</f>
        <v>1940</v>
      </c>
      <c r="G419" s="5" cm="1">
        <f t="array" ref="G419">INDEX(Лист2!$E:$E,MATCH(1,(Лист2!$A:$A=A419)*(Лист2!$B:$B=B419),0))</f>
        <v>1715</v>
      </c>
      <c r="H419" s="9">
        <f t="shared" si="12"/>
        <v>155214.63157894736</v>
      </c>
      <c r="I419">
        <f t="shared" si="13"/>
        <v>20</v>
      </c>
    </row>
    <row r="420" spans="1:9" ht="14.25" hidden="1" customHeight="1" x14ac:dyDescent="0.3">
      <c r="A420" s="15">
        <v>43980</v>
      </c>
      <c r="B420" s="16" t="s">
        <v>13</v>
      </c>
      <c r="C420" s="17">
        <v>35346</v>
      </c>
      <c r="D420" s="18">
        <v>3258054</v>
      </c>
      <c r="E420" s="5" cm="1">
        <f t="array" ref="E420">INDEX(Лист2!$C:$C,MATCH(1,(Лист2!$A:$A=A420)*(Лист2!$B:$B=B420),0))</f>
        <v>20</v>
      </c>
      <c r="F420" s="30" cm="1">
        <f t="array" ref="F420">INDEX(Лист2!$D:$D,MATCH(1,(Лист2!$A:$A=A420)*(Лист2!$B:$B=B420),0))</f>
        <v>2249</v>
      </c>
      <c r="G420" s="5" cm="1">
        <f t="array" ref="G420">INDEX(Лист2!$E:$E,MATCH(1,(Лист2!$A:$A=A420)*(Лист2!$B:$B=B420),0))</f>
        <v>2000</v>
      </c>
      <c r="H420" s="9">
        <f t="shared" si="12"/>
        <v>162902.70000000001</v>
      </c>
      <c r="I420">
        <f t="shared" si="13"/>
        <v>22</v>
      </c>
    </row>
    <row r="421" spans="1:9" ht="14.25" hidden="1" customHeight="1" x14ac:dyDescent="0.3">
      <c r="A421" s="19">
        <v>43978</v>
      </c>
      <c r="B421" s="20" t="s">
        <v>14</v>
      </c>
      <c r="C421" s="21">
        <v>286558.5</v>
      </c>
      <c r="D421" s="22">
        <v>29256993</v>
      </c>
      <c r="E421" s="5" cm="1">
        <f t="array" ref="E421">INDEX(Лист2!$C:$C,MATCH(1,(Лист2!$A:$A=A421)*(Лист2!$B:$B=B421),0))</f>
        <v>129</v>
      </c>
      <c r="F421" s="30" cm="1">
        <f t="array" ref="F421">INDEX(Лист2!$D:$D,MATCH(1,(Лист2!$A:$A=A421)*(Лист2!$B:$B=B421),0))</f>
        <v>17115</v>
      </c>
      <c r="G421" s="5" cm="1">
        <f t="array" ref="G421">INDEX(Лист2!$E:$E,MATCH(1,(Лист2!$A:$A=A421)*(Лист2!$B:$B=B421),0))</f>
        <v>15962</v>
      </c>
      <c r="H421" s="9">
        <f t="shared" si="12"/>
        <v>226798.39534883722</v>
      </c>
      <c r="I421">
        <f t="shared" si="13"/>
        <v>22</v>
      </c>
    </row>
    <row r="422" spans="1:9" ht="14.25" hidden="1" customHeight="1" x14ac:dyDescent="0.3">
      <c r="A422" s="15">
        <v>43973</v>
      </c>
      <c r="B422" s="16" t="s">
        <v>14</v>
      </c>
      <c r="C422" s="17">
        <v>304092</v>
      </c>
      <c r="D422" s="18">
        <v>29465769</v>
      </c>
      <c r="E422" s="5" cm="1">
        <f t="array" ref="E422">INDEX(Лист2!$C:$C,MATCH(1,(Лист2!$A:$A=A422)*(Лист2!$B:$B=B422),0))</f>
        <v>129</v>
      </c>
      <c r="F422" s="30" cm="1">
        <f t="array" ref="F422">INDEX(Лист2!$D:$D,MATCH(1,(Лист2!$A:$A=A422)*(Лист2!$B:$B=B422),0))</f>
        <v>17088</v>
      </c>
      <c r="G422" s="5" cm="1">
        <f t="array" ref="G422">INDEX(Лист2!$E:$E,MATCH(1,(Лист2!$A:$A=A422)*(Лист2!$B:$B=B422),0))</f>
        <v>15804</v>
      </c>
      <c r="H422" s="9">
        <f t="shared" si="12"/>
        <v>228416.81395348837</v>
      </c>
      <c r="I422">
        <f t="shared" si="13"/>
        <v>21</v>
      </c>
    </row>
    <row r="423" spans="1:9" ht="14.25" hidden="1" customHeight="1" x14ac:dyDescent="0.3">
      <c r="A423" s="19">
        <v>43983</v>
      </c>
      <c r="B423" s="20" t="s">
        <v>14</v>
      </c>
      <c r="C423" s="21">
        <v>272926.5</v>
      </c>
      <c r="D423" s="22">
        <v>27770092.5</v>
      </c>
      <c r="E423" s="5" cm="1">
        <f t="array" ref="E423">INDEX(Лист2!$C:$C,MATCH(1,(Лист2!$A:$A=A423)*(Лист2!$B:$B=B423),0))</f>
        <v>128</v>
      </c>
      <c r="F423" s="30" cm="1">
        <f t="array" ref="F423">INDEX(Лист2!$D:$D,MATCH(1,(Лист2!$A:$A=A423)*(Лист2!$B:$B=B423),0))</f>
        <v>16285</v>
      </c>
      <c r="G423" s="5" cm="1">
        <f t="array" ref="G423">INDEX(Лист2!$E:$E,MATCH(1,(Лист2!$A:$A=A423)*(Лист2!$B:$B=B423),0))</f>
        <v>15130</v>
      </c>
      <c r="H423" s="9">
        <f t="shared" si="12"/>
        <v>216953.84765625</v>
      </c>
      <c r="I423">
        <f t="shared" si="13"/>
        <v>23</v>
      </c>
    </row>
    <row r="424" spans="1:9" ht="14.25" hidden="1" customHeight="1" x14ac:dyDescent="0.3">
      <c r="A424" s="15">
        <v>43962</v>
      </c>
      <c r="B424" s="16" t="s">
        <v>14</v>
      </c>
      <c r="C424" s="17">
        <v>237099</v>
      </c>
      <c r="D424" s="18">
        <v>24628233.223949999</v>
      </c>
      <c r="E424" s="5" cm="1">
        <f t="array" ref="E424">INDEX(Лист2!$C:$C,MATCH(1,(Лист2!$A:$A=A424)*(Лист2!$B:$B=B424),0))</f>
        <v>129</v>
      </c>
      <c r="F424" s="30" cm="1">
        <f t="array" ref="F424">INDEX(Лист2!$D:$D,MATCH(1,(Лист2!$A:$A=A424)*(Лист2!$B:$B=B424),0))</f>
        <v>14043</v>
      </c>
      <c r="G424" s="5" cm="1">
        <f t="array" ref="G424">INDEX(Лист2!$E:$E,MATCH(1,(Лист2!$A:$A=A424)*(Лист2!$B:$B=B424),0))</f>
        <v>13167</v>
      </c>
      <c r="H424" s="9">
        <f t="shared" si="12"/>
        <v>190916.53661976743</v>
      </c>
      <c r="I424">
        <f t="shared" si="13"/>
        <v>20</v>
      </c>
    </row>
    <row r="425" spans="1:9" ht="14.25" hidden="1" customHeight="1" x14ac:dyDescent="0.3">
      <c r="A425" s="19">
        <v>43969</v>
      </c>
      <c r="B425" s="20" t="s">
        <v>14</v>
      </c>
      <c r="C425" s="21">
        <v>273900</v>
      </c>
      <c r="D425" s="22">
        <v>27535284.147600003</v>
      </c>
      <c r="E425" s="5" cm="1">
        <f t="array" ref="E425">INDEX(Лист2!$C:$C,MATCH(1,(Лист2!$A:$A=A425)*(Лист2!$B:$B=B425),0))</f>
        <v>129</v>
      </c>
      <c r="F425" s="30" cm="1">
        <f t="array" ref="F425">INDEX(Лист2!$D:$D,MATCH(1,(Лист2!$A:$A=A425)*(Лист2!$B:$B=B425),0))</f>
        <v>16110</v>
      </c>
      <c r="G425" s="5" cm="1">
        <f t="array" ref="G425">INDEX(Лист2!$E:$E,MATCH(1,(Лист2!$A:$A=A425)*(Лист2!$B:$B=B425),0))</f>
        <v>14992</v>
      </c>
      <c r="H425" s="9">
        <f t="shared" si="12"/>
        <v>213451.81509767444</v>
      </c>
      <c r="I425">
        <f t="shared" si="13"/>
        <v>21</v>
      </c>
    </row>
    <row r="426" spans="1:9" ht="14.25" hidden="1" customHeight="1" x14ac:dyDescent="0.3">
      <c r="A426" s="15">
        <v>43965</v>
      </c>
      <c r="B426" s="16" t="s">
        <v>14</v>
      </c>
      <c r="C426" s="17">
        <v>274059</v>
      </c>
      <c r="D426" s="18">
        <v>28181292</v>
      </c>
      <c r="E426" s="5" cm="1">
        <f t="array" ref="E426">INDEX(Лист2!$C:$C,MATCH(1,(Лист2!$A:$A=A426)*(Лист2!$B:$B=B426),0))</f>
        <v>129</v>
      </c>
      <c r="F426" s="30" cm="1">
        <f t="array" ref="F426">INDEX(Лист2!$D:$D,MATCH(1,(Лист2!$A:$A=A426)*(Лист2!$B:$B=B426),0))</f>
        <v>15804</v>
      </c>
      <c r="G426" s="5" cm="1">
        <f t="array" ref="G426">INDEX(Лист2!$E:$E,MATCH(1,(Лист2!$A:$A=A426)*(Лист2!$B:$B=B426),0))</f>
        <v>14738</v>
      </c>
      <c r="H426" s="9">
        <f t="shared" si="12"/>
        <v>218459.62790697673</v>
      </c>
      <c r="I426">
        <f t="shared" si="13"/>
        <v>20</v>
      </c>
    </row>
    <row r="427" spans="1:9" ht="14.25" hidden="1" customHeight="1" x14ac:dyDescent="0.3">
      <c r="A427" s="19">
        <v>43966</v>
      </c>
      <c r="B427" s="20" t="s">
        <v>14</v>
      </c>
      <c r="C427" s="21">
        <v>318816</v>
      </c>
      <c r="D427" s="22">
        <v>32354331</v>
      </c>
      <c r="E427" s="5" cm="1">
        <f t="array" ref="E427">INDEX(Лист2!$C:$C,MATCH(1,(Лист2!$A:$A=A427)*(Лист2!$B:$B=B427),0))</f>
        <v>129</v>
      </c>
      <c r="F427" s="30" cm="1">
        <f t="array" ref="F427">INDEX(Лист2!$D:$D,MATCH(1,(Лист2!$A:$A=A427)*(Лист2!$B:$B=B427),0))</f>
        <v>17808</v>
      </c>
      <c r="G427" s="5" cm="1">
        <f t="array" ref="G427">INDEX(Лист2!$E:$E,MATCH(1,(Лист2!$A:$A=A427)*(Лист2!$B:$B=B427),0))</f>
        <v>16486</v>
      </c>
      <c r="H427" s="9">
        <f t="shared" si="12"/>
        <v>250808.76744186046</v>
      </c>
      <c r="I427">
        <f t="shared" si="13"/>
        <v>20</v>
      </c>
    </row>
    <row r="428" spans="1:9" ht="14.25" customHeight="1" x14ac:dyDescent="0.3">
      <c r="A428" s="15">
        <v>43978</v>
      </c>
      <c r="B428" s="16" t="s">
        <v>15</v>
      </c>
      <c r="C428" s="17">
        <v>370012.5</v>
      </c>
      <c r="D428" s="18">
        <v>39034861.5</v>
      </c>
      <c r="E428" s="5" cm="1">
        <f t="array" ref="E428">INDEX(Лист2!$C:$C,MATCH(1,(Лист2!$A:$A=A428)*(Лист2!$B:$B=B428),0))</f>
        <v>124</v>
      </c>
      <c r="F428" s="30" cm="1">
        <f t="array" ref="F428">INDEX(Лист2!$D:$D,MATCH(1,(Лист2!$A:$A=A428)*(Лист2!$B:$B=B428),0))</f>
        <v>21384</v>
      </c>
      <c r="G428" s="5" cm="1">
        <f t="array" ref="G428">INDEX(Лист2!$E:$E,MATCH(1,(Лист2!$A:$A=A428)*(Лист2!$B:$B=B428),0))</f>
        <v>19897</v>
      </c>
      <c r="H428" s="9">
        <f t="shared" si="12"/>
        <v>314797.2701612903</v>
      </c>
      <c r="I428">
        <f t="shared" si="13"/>
        <v>22</v>
      </c>
    </row>
    <row r="429" spans="1:9" ht="14.25" customHeight="1" x14ac:dyDescent="0.3">
      <c r="A429" s="19">
        <v>43973</v>
      </c>
      <c r="B429" s="20" t="s">
        <v>15</v>
      </c>
      <c r="C429" s="21">
        <v>393018</v>
      </c>
      <c r="D429" s="22">
        <v>39498373.5</v>
      </c>
      <c r="E429" s="5" cm="1">
        <f t="array" ref="E429">INDEX(Лист2!$C:$C,MATCH(1,(Лист2!$A:$A=A429)*(Лист2!$B:$B=B429),0))</f>
        <v>125</v>
      </c>
      <c r="F429" s="30" cm="1">
        <f t="array" ref="F429">INDEX(Лист2!$D:$D,MATCH(1,(Лист2!$A:$A=A429)*(Лист2!$B:$B=B429),0))</f>
        <v>21427</v>
      </c>
      <c r="G429" s="5" cm="1">
        <f t="array" ref="G429">INDEX(Лист2!$E:$E,MATCH(1,(Лист2!$A:$A=A429)*(Лист2!$B:$B=B429),0))</f>
        <v>19799</v>
      </c>
      <c r="H429" s="9">
        <f t="shared" si="12"/>
        <v>315986.98800000001</v>
      </c>
      <c r="I429">
        <f t="shared" si="13"/>
        <v>21</v>
      </c>
    </row>
    <row r="430" spans="1:9" ht="14.25" customHeight="1" x14ac:dyDescent="0.3">
      <c r="A430" s="15">
        <v>43983</v>
      </c>
      <c r="B430" s="16" t="s">
        <v>15</v>
      </c>
      <c r="C430" s="17">
        <v>349699.5</v>
      </c>
      <c r="D430" s="18">
        <v>37257840.18135</v>
      </c>
      <c r="E430" s="5" cm="1">
        <f t="array" ref="E430">INDEX(Лист2!$C:$C,MATCH(1,(Лист2!$A:$A=A430)*(Лист2!$B:$B=B430),0))</f>
        <v>123</v>
      </c>
      <c r="F430" s="30" cm="1">
        <f t="array" ref="F430">INDEX(Лист2!$D:$D,MATCH(1,(Лист2!$A:$A=A430)*(Лист2!$B:$B=B430),0))</f>
        <v>20325</v>
      </c>
      <c r="G430" s="5" cm="1">
        <f t="array" ref="G430">INDEX(Лист2!$E:$E,MATCH(1,(Лист2!$A:$A=A430)*(Лист2!$B:$B=B430),0))</f>
        <v>18935</v>
      </c>
      <c r="H430" s="9">
        <f t="shared" si="12"/>
        <v>302909.26976707316</v>
      </c>
      <c r="I430">
        <f t="shared" si="13"/>
        <v>23</v>
      </c>
    </row>
    <row r="431" spans="1:9" ht="14.25" customHeight="1" x14ac:dyDescent="0.3">
      <c r="A431" s="19">
        <v>43962</v>
      </c>
      <c r="B431" s="20" t="s">
        <v>15</v>
      </c>
      <c r="C431" s="21">
        <v>318565.5</v>
      </c>
      <c r="D431" s="22">
        <v>33781581</v>
      </c>
      <c r="E431" s="5" cm="1">
        <f t="array" ref="E431">INDEX(Лист2!$C:$C,MATCH(1,(Лист2!$A:$A=A431)*(Лист2!$B:$B=B431),0))</f>
        <v>125</v>
      </c>
      <c r="F431" s="30" cm="1">
        <f t="array" ref="F431">INDEX(Лист2!$D:$D,MATCH(1,(Лист2!$A:$A=A431)*(Лист2!$B:$B=B431),0))</f>
        <v>18066</v>
      </c>
      <c r="G431" s="5" cm="1">
        <f t="array" ref="G431">INDEX(Лист2!$E:$E,MATCH(1,(Лист2!$A:$A=A431)*(Лист2!$B:$B=B431),0))</f>
        <v>16883</v>
      </c>
      <c r="H431" s="9">
        <f t="shared" si="12"/>
        <v>270252.64799999999</v>
      </c>
      <c r="I431">
        <f t="shared" si="13"/>
        <v>20</v>
      </c>
    </row>
    <row r="432" spans="1:9" ht="14.25" hidden="1" customHeight="1" x14ac:dyDescent="0.3">
      <c r="A432" s="15">
        <v>43980</v>
      </c>
      <c r="B432" s="16" t="s">
        <v>14</v>
      </c>
      <c r="C432" s="17">
        <v>422965.5</v>
      </c>
      <c r="D432" s="18">
        <v>41767140.105000004</v>
      </c>
      <c r="E432" s="5" cm="1">
        <f t="array" ref="E432">INDEX(Лист2!$C:$C,MATCH(1,(Лист2!$A:$A=A432)*(Лист2!$B:$B=B432),0))</f>
        <v>129</v>
      </c>
      <c r="F432" s="30" cm="1">
        <f t="array" ref="F432">INDEX(Лист2!$D:$D,MATCH(1,(Лист2!$A:$A=A432)*(Лист2!$B:$B=B432),0))</f>
        <v>22403</v>
      </c>
      <c r="G432" s="5" cm="1">
        <f t="array" ref="G432">INDEX(Лист2!$E:$E,MATCH(1,(Лист2!$A:$A=A432)*(Лист2!$B:$B=B432),0))</f>
        <v>20676</v>
      </c>
      <c r="H432" s="9">
        <f t="shared" si="12"/>
        <v>323776.27988372097</v>
      </c>
      <c r="I432">
        <f t="shared" si="13"/>
        <v>22</v>
      </c>
    </row>
    <row r="433" spans="1:9" ht="14.25" customHeight="1" x14ac:dyDescent="0.3">
      <c r="A433" s="19">
        <v>43969</v>
      </c>
      <c r="B433" s="20" t="s">
        <v>15</v>
      </c>
      <c r="C433" s="21">
        <v>355081.5</v>
      </c>
      <c r="D433" s="22">
        <v>36876888</v>
      </c>
      <c r="E433" s="5" cm="1">
        <f t="array" ref="E433">INDEX(Лист2!$C:$C,MATCH(1,(Лист2!$A:$A=A433)*(Лист2!$B:$B=B433),0))</f>
        <v>125</v>
      </c>
      <c r="F433" s="30" cm="1">
        <f t="array" ref="F433">INDEX(Лист2!$D:$D,MATCH(1,(Лист2!$A:$A=A433)*(Лист2!$B:$B=B433),0))</f>
        <v>20449</v>
      </c>
      <c r="G433" s="5" cm="1">
        <f t="array" ref="G433">INDEX(Лист2!$E:$E,MATCH(1,(Лист2!$A:$A=A433)*(Лист2!$B:$B=B433),0))</f>
        <v>19060</v>
      </c>
      <c r="H433" s="9">
        <f t="shared" si="12"/>
        <v>295015.10399999999</v>
      </c>
      <c r="I433">
        <f t="shared" si="13"/>
        <v>21</v>
      </c>
    </row>
    <row r="434" spans="1:9" ht="14.25" customHeight="1" x14ac:dyDescent="0.3">
      <c r="A434" s="15">
        <v>43965</v>
      </c>
      <c r="B434" s="16" t="s">
        <v>15</v>
      </c>
      <c r="C434" s="17">
        <v>358387.5</v>
      </c>
      <c r="D434" s="18">
        <v>37963150.5</v>
      </c>
      <c r="E434" s="5" cm="1">
        <f t="array" ref="E434">INDEX(Лист2!$C:$C,MATCH(1,(Лист2!$A:$A=A434)*(Лист2!$B:$B=B434),0))</f>
        <v>125</v>
      </c>
      <c r="F434" s="30" cm="1">
        <f t="array" ref="F434">INDEX(Лист2!$D:$D,MATCH(1,(Лист2!$A:$A=A434)*(Лист2!$B:$B=B434),0))</f>
        <v>20247</v>
      </c>
      <c r="G434" s="5" cm="1">
        <f t="array" ref="G434">INDEX(Лист2!$E:$E,MATCH(1,(Лист2!$A:$A=A434)*(Лист2!$B:$B=B434),0))</f>
        <v>18812</v>
      </c>
      <c r="H434" s="9">
        <f t="shared" si="12"/>
        <v>303705.20400000003</v>
      </c>
      <c r="I434">
        <f t="shared" si="13"/>
        <v>20</v>
      </c>
    </row>
    <row r="435" spans="1:9" ht="14.25" customHeight="1" x14ac:dyDescent="0.3">
      <c r="A435" s="19">
        <v>43966</v>
      </c>
      <c r="B435" s="20" t="s">
        <v>15</v>
      </c>
      <c r="C435" s="21">
        <v>403261.5</v>
      </c>
      <c r="D435" s="22">
        <v>42271377</v>
      </c>
      <c r="E435" s="5" cm="1">
        <f t="array" ref="E435">INDEX(Лист2!$C:$C,MATCH(1,(Лист2!$A:$A=A435)*(Лист2!$B:$B=B435),0))</f>
        <v>125</v>
      </c>
      <c r="F435" s="30" cm="1">
        <f t="array" ref="F435">INDEX(Лист2!$D:$D,MATCH(1,(Лист2!$A:$A=A435)*(Лист2!$B:$B=B435),0))</f>
        <v>21862</v>
      </c>
      <c r="G435" s="5" cm="1">
        <f t="array" ref="G435">INDEX(Лист2!$E:$E,MATCH(1,(Лист2!$A:$A=A435)*(Лист2!$B:$B=B435),0))</f>
        <v>20235</v>
      </c>
      <c r="H435" s="9">
        <f t="shared" si="12"/>
        <v>338171.016</v>
      </c>
      <c r="I435">
        <f t="shared" si="13"/>
        <v>20</v>
      </c>
    </row>
    <row r="436" spans="1:9" ht="14.25" hidden="1" customHeight="1" x14ac:dyDescent="0.3">
      <c r="A436" s="15">
        <v>43978</v>
      </c>
      <c r="B436" s="16" t="s">
        <v>16</v>
      </c>
      <c r="C436" s="17">
        <v>69010.5</v>
      </c>
      <c r="D436" s="28">
        <v>5985894</v>
      </c>
      <c r="E436" s="5" cm="1">
        <f t="array" ref="E436">INDEX(Лист2!$C:$C,MATCH(1,(Лист2!$A:$A=A436)*(Лист2!$B:$B=B436),0))</f>
        <v>36</v>
      </c>
      <c r="F436" s="30" cm="1">
        <f t="array" ref="F436">INDEX(Лист2!$D:$D,MATCH(1,(Лист2!$A:$A=A436)*(Лист2!$B:$B=B436),0))</f>
        <v>4951</v>
      </c>
      <c r="G436" s="5" cm="1">
        <f t="array" ref="G436">INDEX(Лист2!$E:$E,MATCH(1,(Лист2!$A:$A=A436)*(Лист2!$B:$B=B436),0))</f>
        <v>4584</v>
      </c>
      <c r="H436" s="9">
        <f t="shared" si="12"/>
        <v>166274.83333333334</v>
      </c>
      <c r="I436">
        <f t="shared" si="13"/>
        <v>22</v>
      </c>
    </row>
    <row r="437" spans="1:9" ht="14.25" hidden="1" customHeight="1" x14ac:dyDescent="0.3">
      <c r="A437" s="19">
        <v>43973</v>
      </c>
      <c r="B437" s="20" t="s">
        <v>16</v>
      </c>
      <c r="C437" s="21">
        <v>75820.5</v>
      </c>
      <c r="D437" s="29">
        <v>5943489</v>
      </c>
      <c r="E437" s="5" cm="1">
        <f t="array" ref="E437">INDEX(Лист2!$C:$C,MATCH(1,(Лист2!$A:$A=A437)*(Лист2!$B:$B=B437),0))</f>
        <v>36</v>
      </c>
      <c r="F437" s="30" cm="1">
        <f t="array" ref="F437">INDEX(Лист2!$D:$D,MATCH(1,(Лист2!$A:$A=A437)*(Лист2!$B:$B=B437),0))</f>
        <v>4857</v>
      </c>
      <c r="G437" s="5" cm="1">
        <f t="array" ref="G437">INDEX(Лист2!$E:$E,MATCH(1,(Лист2!$A:$A=A437)*(Лист2!$B:$B=B437),0))</f>
        <v>4456</v>
      </c>
      <c r="H437" s="9">
        <f t="shared" si="12"/>
        <v>165096.91666666666</v>
      </c>
      <c r="I437">
        <f t="shared" si="13"/>
        <v>21</v>
      </c>
    </row>
    <row r="438" spans="1:9" ht="14.25" hidden="1" customHeight="1" x14ac:dyDescent="0.3">
      <c r="A438" s="15">
        <v>43983</v>
      </c>
      <c r="B438" s="16" t="s">
        <v>16</v>
      </c>
      <c r="C438" s="17">
        <v>64740</v>
      </c>
      <c r="D438" s="28">
        <v>5800290</v>
      </c>
      <c r="E438" s="5" cm="1">
        <f t="array" ref="E438">INDEX(Лист2!$C:$C,MATCH(1,(Лист2!$A:$A=A438)*(Лист2!$B:$B=B438),0))</f>
        <v>37</v>
      </c>
      <c r="F438" s="30" cm="1">
        <f t="array" ref="F438">INDEX(Лист2!$D:$D,MATCH(1,(Лист2!$A:$A=A438)*(Лист2!$B:$B=B438),0))</f>
        <v>4722</v>
      </c>
      <c r="G438" s="5" cm="1">
        <f t="array" ref="G438">INDEX(Лист2!$E:$E,MATCH(1,(Лист2!$A:$A=A438)*(Лист2!$B:$B=B438),0))</f>
        <v>4352</v>
      </c>
      <c r="H438" s="9">
        <f t="shared" si="12"/>
        <v>156764.59459459459</v>
      </c>
      <c r="I438">
        <f t="shared" si="13"/>
        <v>23</v>
      </c>
    </row>
    <row r="439" spans="1:9" ht="14.25" hidden="1" customHeight="1" x14ac:dyDescent="0.3">
      <c r="A439" s="19">
        <v>43962</v>
      </c>
      <c r="B439" s="20" t="s">
        <v>16</v>
      </c>
      <c r="C439" s="21">
        <v>59574</v>
      </c>
      <c r="D439" s="29">
        <v>5178169.5</v>
      </c>
      <c r="E439" s="5" cm="1">
        <f t="array" ref="E439">INDEX(Лист2!$C:$C,MATCH(1,(Лист2!$A:$A=A439)*(Лист2!$B:$B=B439),0))</f>
        <v>36</v>
      </c>
      <c r="F439" s="30" cm="1">
        <f t="array" ref="F439">INDEX(Лист2!$D:$D,MATCH(1,(Лист2!$A:$A=A439)*(Лист2!$B:$B=B439),0))</f>
        <v>4150</v>
      </c>
      <c r="G439" s="5" cm="1">
        <f t="array" ref="G439">INDEX(Лист2!$E:$E,MATCH(1,(Лист2!$A:$A=A439)*(Лист2!$B:$B=B439),0))</f>
        <v>3838</v>
      </c>
      <c r="H439" s="9">
        <f t="shared" si="12"/>
        <v>143838.04166666666</v>
      </c>
      <c r="I439">
        <f t="shared" si="13"/>
        <v>20</v>
      </c>
    </row>
    <row r="440" spans="1:9" ht="14.25" customHeight="1" x14ac:dyDescent="0.3">
      <c r="A440" s="15">
        <v>43980</v>
      </c>
      <c r="B440" s="16" t="s">
        <v>15</v>
      </c>
      <c r="C440" s="17">
        <v>524481</v>
      </c>
      <c r="D440" s="18">
        <v>54172029</v>
      </c>
      <c r="E440" s="5" cm="1">
        <f t="array" ref="E440">INDEX(Лист2!$C:$C,MATCH(1,(Лист2!$A:$A=A440)*(Лист2!$B:$B=B440),0))</f>
        <v>124</v>
      </c>
      <c r="F440" s="30" cm="1">
        <f t="array" ref="F440">INDEX(Лист2!$D:$D,MATCH(1,(Лист2!$A:$A=A440)*(Лист2!$B:$B=B440),0))</f>
        <v>25828</v>
      </c>
      <c r="G440" s="5" cm="1">
        <f t="array" ref="G440">INDEX(Лист2!$E:$E,MATCH(1,(Лист2!$A:$A=A440)*(Лист2!$B:$B=B440),0))</f>
        <v>23974</v>
      </c>
      <c r="H440" s="9">
        <f t="shared" si="12"/>
        <v>436871.20161290321</v>
      </c>
      <c r="I440">
        <f t="shared" si="13"/>
        <v>22</v>
      </c>
    </row>
    <row r="441" spans="1:9" ht="14.25" hidden="1" customHeight="1" x14ac:dyDescent="0.3">
      <c r="A441" s="19">
        <v>43969</v>
      </c>
      <c r="B441" s="20" t="s">
        <v>16</v>
      </c>
      <c r="C441" s="21">
        <v>70278</v>
      </c>
      <c r="D441" s="29">
        <v>5798476.5</v>
      </c>
      <c r="E441" s="5" cm="1">
        <f t="array" ref="E441">INDEX(Лист2!$C:$C,MATCH(1,(Лист2!$A:$A=A441)*(Лист2!$B:$B=B441),0))</f>
        <v>36</v>
      </c>
      <c r="F441" s="30" cm="1">
        <f t="array" ref="F441">INDEX(Лист2!$D:$D,MATCH(1,(Лист2!$A:$A=A441)*(Лист2!$B:$B=B441),0))</f>
        <v>4885</v>
      </c>
      <c r="G441" s="5" cm="1">
        <f t="array" ref="G441">INDEX(Лист2!$E:$E,MATCH(1,(Лист2!$A:$A=A441)*(Лист2!$B:$B=B441),0))</f>
        <v>4502</v>
      </c>
      <c r="H441" s="9">
        <f t="shared" si="12"/>
        <v>161068.79166666666</v>
      </c>
      <c r="I441">
        <f t="shared" si="13"/>
        <v>21</v>
      </c>
    </row>
    <row r="442" spans="1:9" ht="14.25" hidden="1" customHeight="1" x14ac:dyDescent="0.3">
      <c r="A442" s="15">
        <v>43965</v>
      </c>
      <c r="B442" s="16" t="s">
        <v>16</v>
      </c>
      <c r="C442" s="17">
        <v>63645</v>
      </c>
      <c r="D442" s="28">
        <v>5366602.5</v>
      </c>
      <c r="E442" s="5" cm="1">
        <f t="array" ref="E442">INDEX(Лист2!$C:$C,MATCH(1,(Лист2!$A:$A=A442)*(Лист2!$B:$B=B442),0))</f>
        <v>36</v>
      </c>
      <c r="F442" s="30" cm="1">
        <f t="array" ref="F442">INDEX(Лист2!$D:$D,MATCH(1,(Лист2!$A:$A=A442)*(Лист2!$B:$B=B442),0))</f>
        <v>4285</v>
      </c>
      <c r="G442" s="5" cm="1">
        <f t="array" ref="G442">INDEX(Лист2!$E:$E,MATCH(1,(Лист2!$A:$A=A442)*(Лист2!$B:$B=B442),0))</f>
        <v>3950</v>
      </c>
      <c r="H442" s="9">
        <f t="shared" si="12"/>
        <v>149072.29166666666</v>
      </c>
      <c r="I442">
        <f t="shared" si="13"/>
        <v>20</v>
      </c>
    </row>
    <row r="443" spans="1:9" ht="14.25" hidden="1" customHeight="1" x14ac:dyDescent="0.3">
      <c r="A443" s="19">
        <v>43966</v>
      </c>
      <c r="B443" s="20" t="s">
        <v>16</v>
      </c>
      <c r="C443" s="21">
        <v>75642</v>
      </c>
      <c r="D443" s="29">
        <v>6293952</v>
      </c>
      <c r="E443" s="5" cm="1">
        <f t="array" ref="E443">INDEX(Лист2!$C:$C,MATCH(1,(Лист2!$A:$A=A443)*(Лист2!$B:$B=B443),0))</f>
        <v>36</v>
      </c>
      <c r="F443" s="30" cm="1">
        <f t="array" ref="F443">INDEX(Лист2!$D:$D,MATCH(1,(Лист2!$A:$A=A443)*(Лист2!$B:$B=B443),0))</f>
        <v>4862</v>
      </c>
      <c r="G443" s="5" cm="1">
        <f t="array" ref="G443">INDEX(Лист2!$E:$E,MATCH(1,(Лист2!$A:$A=A443)*(Лист2!$B:$B=B443),0))</f>
        <v>4476</v>
      </c>
      <c r="H443" s="9">
        <f t="shared" si="12"/>
        <v>174832</v>
      </c>
      <c r="I443">
        <f t="shared" si="13"/>
        <v>20</v>
      </c>
    </row>
    <row r="444" spans="1:9" ht="14.25" hidden="1" customHeight="1" x14ac:dyDescent="0.3">
      <c r="A444" s="15">
        <v>43978</v>
      </c>
      <c r="B444" s="16" t="s">
        <v>17</v>
      </c>
      <c r="C444" s="17">
        <v>40420.5</v>
      </c>
      <c r="D444" s="18">
        <v>3780852</v>
      </c>
      <c r="E444" s="5" cm="1">
        <f t="array" ref="E444">INDEX(Лист2!$C:$C,MATCH(1,(Лист2!$A:$A=A444)*(Лист2!$B:$B=B444),0))</f>
        <v>21</v>
      </c>
      <c r="F444" s="30" cm="1">
        <f t="array" ref="F444">INDEX(Лист2!$D:$D,MATCH(1,(Лист2!$A:$A=A444)*(Лист2!$B:$B=B444),0))</f>
        <v>2430</v>
      </c>
      <c r="G444" s="5" cm="1">
        <f t="array" ref="G444">INDEX(Лист2!$E:$E,MATCH(1,(Лист2!$A:$A=A444)*(Лист2!$B:$B=B444),0))</f>
        <v>2216</v>
      </c>
      <c r="H444" s="9">
        <f t="shared" si="12"/>
        <v>180040.57142857142</v>
      </c>
      <c r="I444">
        <f t="shared" si="13"/>
        <v>22</v>
      </c>
    </row>
    <row r="445" spans="1:9" ht="14.25" hidden="1" customHeight="1" x14ac:dyDescent="0.3">
      <c r="A445" s="19">
        <v>43973</v>
      </c>
      <c r="B445" s="20" t="s">
        <v>17</v>
      </c>
      <c r="C445" s="21">
        <v>53838</v>
      </c>
      <c r="D445" s="22">
        <v>4840833</v>
      </c>
      <c r="E445" s="5" cm="1">
        <f t="array" ref="E445">INDEX(Лист2!$C:$C,MATCH(1,(Лист2!$A:$A=A445)*(Лист2!$B:$B=B445),0))</f>
        <v>21</v>
      </c>
      <c r="F445" s="30" cm="1">
        <f t="array" ref="F445">INDEX(Лист2!$D:$D,MATCH(1,(Лист2!$A:$A=A445)*(Лист2!$B:$B=B445),0))</f>
        <v>2861</v>
      </c>
      <c r="G445" s="5" cm="1">
        <f t="array" ref="G445">INDEX(Лист2!$E:$E,MATCH(1,(Лист2!$A:$A=A445)*(Лист2!$B:$B=B445),0))</f>
        <v>2612</v>
      </c>
      <c r="H445" s="9">
        <f t="shared" si="12"/>
        <v>230515.85714285713</v>
      </c>
      <c r="I445">
        <f t="shared" si="13"/>
        <v>21</v>
      </c>
    </row>
    <row r="446" spans="1:9" ht="14.25" hidden="1" customHeight="1" x14ac:dyDescent="0.3">
      <c r="A446" s="15">
        <v>43983</v>
      </c>
      <c r="B446" s="16" t="s">
        <v>17</v>
      </c>
      <c r="C446" s="17">
        <v>40528.5</v>
      </c>
      <c r="D446" s="18">
        <v>3865251</v>
      </c>
      <c r="E446" s="5" cm="1">
        <f t="array" ref="E446">INDEX(Лист2!$C:$C,MATCH(1,(Лист2!$A:$A=A446)*(Лист2!$B:$B=B446),0))</f>
        <v>23</v>
      </c>
      <c r="F446" s="30" cm="1">
        <f t="array" ref="F446">INDEX(Лист2!$D:$D,MATCH(1,(Лист2!$A:$A=A446)*(Лист2!$B:$B=B446),0))</f>
        <v>2531</v>
      </c>
      <c r="G446" s="5" cm="1">
        <f t="array" ref="G446">INDEX(Лист2!$E:$E,MATCH(1,(Лист2!$A:$A=A446)*(Лист2!$B:$B=B446),0))</f>
        <v>2296</v>
      </c>
      <c r="H446" s="9">
        <f t="shared" si="12"/>
        <v>168054.39130434784</v>
      </c>
      <c r="I446">
        <f t="shared" si="13"/>
        <v>23</v>
      </c>
    </row>
    <row r="447" spans="1:9" ht="14.25" hidden="1" customHeight="1" x14ac:dyDescent="0.3">
      <c r="A447" s="19">
        <v>43962</v>
      </c>
      <c r="B447" s="20" t="s">
        <v>17</v>
      </c>
      <c r="C447" s="21">
        <v>32733</v>
      </c>
      <c r="D447" s="22">
        <v>3079630.5</v>
      </c>
      <c r="E447" s="5" cm="1">
        <f t="array" ref="E447">INDEX(Лист2!$C:$C,MATCH(1,(Лист2!$A:$A=A447)*(Лист2!$B:$B=B447),0))</f>
        <v>21</v>
      </c>
      <c r="F447" s="30" cm="1">
        <f t="array" ref="F447">INDEX(Лист2!$D:$D,MATCH(1,(Лист2!$A:$A=A447)*(Лист2!$B:$B=B447),0))</f>
        <v>1916</v>
      </c>
      <c r="G447" s="5" cm="1">
        <f t="array" ref="G447">INDEX(Лист2!$E:$E,MATCH(1,(Лист2!$A:$A=A447)*(Лист2!$B:$B=B447),0))</f>
        <v>1733</v>
      </c>
      <c r="H447" s="9">
        <f t="shared" si="12"/>
        <v>146649.07142857142</v>
      </c>
      <c r="I447">
        <f t="shared" si="13"/>
        <v>20</v>
      </c>
    </row>
    <row r="448" spans="1:9" ht="14.25" hidden="1" customHeight="1" x14ac:dyDescent="0.3">
      <c r="A448" s="15">
        <v>43980</v>
      </c>
      <c r="B448" s="16" t="s">
        <v>16</v>
      </c>
      <c r="C448" s="17">
        <v>84433.5</v>
      </c>
      <c r="D448" s="28">
        <v>7228395</v>
      </c>
      <c r="E448" s="5" cm="1">
        <f t="array" ref="E448">INDEX(Лист2!$C:$C,MATCH(1,(Лист2!$A:$A=A448)*(Лист2!$B:$B=B448),0))</f>
        <v>37</v>
      </c>
      <c r="F448" s="30" cm="1">
        <f t="array" ref="F448">INDEX(Лист2!$D:$D,MATCH(1,(Лист2!$A:$A=A448)*(Лист2!$B:$B=B448),0))</f>
        <v>5672</v>
      </c>
      <c r="G448" s="5" cm="1">
        <f t="array" ref="G448">INDEX(Лист2!$E:$E,MATCH(1,(Лист2!$A:$A=A448)*(Лист2!$B:$B=B448),0))</f>
        <v>5198</v>
      </c>
      <c r="H448" s="9">
        <f t="shared" si="12"/>
        <v>195362.02702702704</v>
      </c>
      <c r="I448">
        <f t="shared" si="13"/>
        <v>22</v>
      </c>
    </row>
    <row r="449" spans="1:9" ht="14.25" hidden="1" customHeight="1" x14ac:dyDescent="0.3">
      <c r="A449" s="19">
        <v>43969</v>
      </c>
      <c r="B449" s="20" t="s">
        <v>17</v>
      </c>
      <c r="C449" s="21">
        <v>36655.5</v>
      </c>
      <c r="D449" s="22">
        <v>3360135</v>
      </c>
      <c r="E449" s="5" cm="1">
        <f t="array" ref="E449">INDEX(Лист2!$C:$C,MATCH(1,(Лист2!$A:$A=A449)*(Лист2!$B:$B=B449),0))</f>
        <v>21</v>
      </c>
      <c r="F449" s="30" cm="1">
        <f t="array" ref="F449">INDEX(Лист2!$D:$D,MATCH(1,(Лист2!$A:$A=A449)*(Лист2!$B:$B=B449),0))</f>
        <v>2136</v>
      </c>
      <c r="G449" s="5" cm="1">
        <f t="array" ref="G449">INDEX(Лист2!$E:$E,MATCH(1,(Лист2!$A:$A=A449)*(Лист2!$B:$B=B449),0))</f>
        <v>1947</v>
      </c>
      <c r="H449" s="9">
        <f t="shared" si="12"/>
        <v>160006.42857142858</v>
      </c>
      <c r="I449">
        <f t="shared" si="13"/>
        <v>21</v>
      </c>
    </row>
    <row r="450" spans="1:9" ht="14.25" hidden="1" customHeight="1" x14ac:dyDescent="0.3">
      <c r="A450" s="15">
        <v>43965</v>
      </c>
      <c r="B450" s="16" t="s">
        <v>17</v>
      </c>
      <c r="C450" s="17">
        <v>33886.5</v>
      </c>
      <c r="D450" s="18">
        <v>3166479</v>
      </c>
      <c r="E450" s="5" cm="1">
        <f t="array" ref="E450">INDEX(Лист2!$C:$C,MATCH(1,(Лист2!$A:$A=A450)*(Лист2!$B:$B=B450),0))</f>
        <v>21</v>
      </c>
      <c r="F450" s="30" cm="1">
        <f t="array" ref="F450">INDEX(Лист2!$D:$D,MATCH(1,(Лист2!$A:$A=A450)*(Лист2!$B:$B=B450),0))</f>
        <v>1993</v>
      </c>
      <c r="G450" s="5" cm="1">
        <f t="array" ref="G450">INDEX(Лист2!$E:$E,MATCH(1,(Лист2!$A:$A=A450)*(Лист2!$B:$B=B450),0))</f>
        <v>1796</v>
      </c>
      <c r="H450" s="9">
        <f t="shared" si="12"/>
        <v>150784.71428571429</v>
      </c>
      <c r="I450">
        <f t="shared" si="13"/>
        <v>20</v>
      </c>
    </row>
    <row r="451" spans="1:9" ht="14.25" hidden="1" customHeight="1" x14ac:dyDescent="0.3">
      <c r="A451" s="19">
        <v>43966</v>
      </c>
      <c r="B451" s="20" t="s">
        <v>17</v>
      </c>
      <c r="C451" s="21">
        <v>41697</v>
      </c>
      <c r="D451" s="22">
        <v>3772258.5</v>
      </c>
      <c r="E451" s="5" cm="1">
        <f t="array" ref="E451">INDEX(Лист2!$C:$C,MATCH(1,(Лист2!$A:$A=A451)*(Лист2!$B:$B=B451),0))</f>
        <v>21</v>
      </c>
      <c r="F451" s="30" cm="1">
        <f t="array" ref="F451">INDEX(Лист2!$D:$D,MATCH(1,(Лист2!$A:$A=A451)*(Лист2!$B:$B=B451),0))</f>
        <v>2255</v>
      </c>
      <c r="G451" s="5" cm="1">
        <f t="array" ref="G451">INDEX(Лист2!$E:$E,MATCH(1,(Лист2!$A:$A=A451)*(Лист2!$B:$B=B451),0))</f>
        <v>2045</v>
      </c>
      <c r="H451" s="9">
        <f t="shared" ref="H451:H505" si="14">D451/E451</f>
        <v>179631.35714285713</v>
      </c>
      <c r="I451">
        <f t="shared" ref="I451:I505" si="15">WEEKNUM(A451,2)</f>
        <v>20</v>
      </c>
    </row>
    <row r="452" spans="1:9" ht="14.25" hidden="1" customHeight="1" x14ac:dyDescent="0.3">
      <c r="A452" s="15">
        <v>43980</v>
      </c>
      <c r="B452" s="16" t="s">
        <v>17</v>
      </c>
      <c r="C452" s="17">
        <v>44569.5</v>
      </c>
      <c r="D452" s="18">
        <v>4108596</v>
      </c>
      <c r="E452" s="5" cm="1">
        <f t="array" ref="E452">INDEX(Лист2!$C:$C,MATCH(1,(Лист2!$A:$A=A452)*(Лист2!$B:$B=B452),0))</f>
        <v>22</v>
      </c>
      <c r="F452" s="30" cm="1">
        <f t="array" ref="F452">INDEX(Лист2!$D:$D,MATCH(1,(Лист2!$A:$A=A452)*(Лист2!$B:$B=B452),0))</f>
        <v>2597</v>
      </c>
      <c r="G452" s="5" cm="1">
        <f t="array" ref="G452">INDEX(Лист2!$E:$E,MATCH(1,(Лист2!$A:$A=A452)*(Лист2!$B:$B=B452),0))</f>
        <v>2379</v>
      </c>
      <c r="H452" s="9">
        <f t="shared" si="14"/>
        <v>186754.36363636365</v>
      </c>
      <c r="I452">
        <f t="shared" si="15"/>
        <v>22</v>
      </c>
    </row>
    <row r="453" spans="1:9" ht="14.25" hidden="1" customHeight="1" x14ac:dyDescent="0.3">
      <c r="A453" s="19">
        <v>43978</v>
      </c>
      <c r="B453" s="20" t="s">
        <v>18</v>
      </c>
      <c r="C453" s="21">
        <v>18069</v>
      </c>
      <c r="D453" s="22">
        <v>1603084.5</v>
      </c>
      <c r="E453" s="5" cm="1">
        <f t="array" ref="E453">INDEX(Лист2!$C:$C,MATCH(1,(Лист2!$A:$A=A453)*(Лист2!$B:$B=B453),0))</f>
        <v>17</v>
      </c>
      <c r="F453" s="30" cm="1">
        <f t="array" ref="F453">INDEX(Лист2!$D:$D,MATCH(1,(Лист2!$A:$A=A453)*(Лист2!$B:$B=B453),0))</f>
        <v>1203</v>
      </c>
      <c r="G453" s="5" cm="1">
        <f t="array" ref="G453">INDEX(Лист2!$E:$E,MATCH(1,(Лист2!$A:$A=A453)*(Лист2!$B:$B=B453),0))</f>
        <v>1077</v>
      </c>
      <c r="H453" s="9">
        <f t="shared" si="14"/>
        <v>94299.088235294112</v>
      </c>
      <c r="I453">
        <f t="shared" si="15"/>
        <v>22</v>
      </c>
    </row>
    <row r="454" spans="1:9" ht="14.25" hidden="1" customHeight="1" x14ac:dyDescent="0.3">
      <c r="A454" s="15">
        <v>43973</v>
      </c>
      <c r="B454" s="16" t="s">
        <v>18</v>
      </c>
      <c r="C454" s="17">
        <v>21483</v>
      </c>
      <c r="D454" s="18">
        <v>1774329</v>
      </c>
      <c r="E454" s="5" cm="1">
        <f t="array" ref="E454">INDEX(Лист2!$C:$C,MATCH(1,(Лист2!$A:$A=A454)*(Лист2!$B:$B=B454),0))</f>
        <v>17</v>
      </c>
      <c r="F454" s="30" cm="1">
        <f t="array" ref="F454">INDEX(Лист2!$D:$D,MATCH(1,(Лист2!$A:$A=A454)*(Лист2!$B:$B=B454),0))</f>
        <v>1268</v>
      </c>
      <c r="G454" s="5" cm="1">
        <f t="array" ref="G454">INDEX(Лист2!$E:$E,MATCH(1,(Лист2!$A:$A=A454)*(Лист2!$B:$B=B454),0))</f>
        <v>1129</v>
      </c>
      <c r="H454" s="9">
        <f t="shared" si="14"/>
        <v>104372.29411764706</v>
      </c>
      <c r="I454">
        <f t="shared" si="15"/>
        <v>21</v>
      </c>
    </row>
    <row r="455" spans="1:9" ht="14.25" hidden="1" customHeight="1" x14ac:dyDescent="0.3">
      <c r="A455" s="19">
        <v>43983</v>
      </c>
      <c r="B455" s="20" t="s">
        <v>18</v>
      </c>
      <c r="C455" s="21">
        <v>16687.5</v>
      </c>
      <c r="D455" s="22">
        <v>1526608.5</v>
      </c>
      <c r="E455" s="5" cm="1">
        <f t="array" ref="E455">INDEX(Лист2!$C:$C,MATCH(1,(Лист2!$A:$A=A455)*(Лист2!$B:$B=B455),0))</f>
        <v>17</v>
      </c>
      <c r="F455" s="30" cm="1">
        <f t="array" ref="F455">INDEX(Лист2!$D:$D,MATCH(1,(Лист2!$A:$A=A455)*(Лист2!$B:$B=B455),0))</f>
        <v>1185</v>
      </c>
      <c r="G455" s="5" cm="1">
        <f t="array" ref="G455">INDEX(Лист2!$E:$E,MATCH(1,(Лист2!$A:$A=A455)*(Лист2!$B:$B=B455),0))</f>
        <v>1042</v>
      </c>
      <c r="H455" s="9">
        <f t="shared" si="14"/>
        <v>89800.5</v>
      </c>
      <c r="I455">
        <f t="shared" si="15"/>
        <v>23</v>
      </c>
    </row>
    <row r="456" spans="1:9" ht="14.25" hidden="1" customHeight="1" x14ac:dyDescent="0.3">
      <c r="A456" s="15">
        <v>43962</v>
      </c>
      <c r="B456" s="16" t="s">
        <v>18</v>
      </c>
      <c r="C456" s="17">
        <v>12238.5</v>
      </c>
      <c r="D456" s="18">
        <v>1096002</v>
      </c>
      <c r="E456" s="5" cm="1">
        <f t="array" ref="E456">INDEX(Лист2!$C:$C,MATCH(1,(Лист2!$A:$A=A456)*(Лист2!$B:$B=B456),0))</f>
        <v>15</v>
      </c>
      <c r="F456" s="30" cm="1">
        <f t="array" ref="F456">INDEX(Лист2!$D:$D,MATCH(1,(Лист2!$A:$A=A456)*(Лист2!$B:$B=B456),0))</f>
        <v>812</v>
      </c>
      <c r="G456" s="5" cm="1">
        <f t="array" ref="G456">INDEX(Лист2!$E:$E,MATCH(1,(Лист2!$A:$A=A456)*(Лист2!$B:$B=B456),0))</f>
        <v>714</v>
      </c>
      <c r="H456" s="9">
        <f t="shared" si="14"/>
        <v>73066.8</v>
      </c>
      <c r="I456">
        <f t="shared" si="15"/>
        <v>20</v>
      </c>
    </row>
    <row r="457" spans="1:9" ht="14.25" hidden="1" customHeight="1" x14ac:dyDescent="0.3">
      <c r="A457" s="19">
        <v>43969</v>
      </c>
      <c r="B457" s="20" t="s">
        <v>18</v>
      </c>
      <c r="C457" s="21">
        <v>14290.5</v>
      </c>
      <c r="D457" s="22">
        <v>1246162.5</v>
      </c>
      <c r="E457" s="5" cm="1">
        <f t="array" ref="E457">INDEX(Лист2!$C:$C,MATCH(1,(Лист2!$A:$A=A457)*(Лист2!$B:$B=B457),0))</f>
        <v>16</v>
      </c>
      <c r="F457" s="30" cm="1">
        <f t="array" ref="F457">INDEX(Лист2!$D:$D,MATCH(1,(Лист2!$A:$A=A457)*(Лист2!$B:$B=B457),0))</f>
        <v>925</v>
      </c>
      <c r="G457" s="5" cm="1">
        <f t="array" ref="G457">INDEX(Лист2!$E:$E,MATCH(1,(Лист2!$A:$A=A457)*(Лист2!$B:$B=B457),0))</f>
        <v>816</v>
      </c>
      <c r="H457" s="9">
        <f t="shared" si="14"/>
        <v>77885.15625</v>
      </c>
      <c r="I457">
        <f t="shared" si="15"/>
        <v>21</v>
      </c>
    </row>
    <row r="458" spans="1:9" ht="14.25" hidden="1" customHeight="1" x14ac:dyDescent="0.3">
      <c r="A458" s="15">
        <v>43965</v>
      </c>
      <c r="B458" s="16" t="s">
        <v>18</v>
      </c>
      <c r="C458" s="17">
        <v>14385</v>
      </c>
      <c r="D458" s="18">
        <v>1223491.5</v>
      </c>
      <c r="E458" s="5" cm="1">
        <f t="array" ref="E458">INDEX(Лист2!$C:$C,MATCH(1,(Лист2!$A:$A=A458)*(Лист2!$B:$B=B458),0))</f>
        <v>15</v>
      </c>
      <c r="F458" s="30" cm="1">
        <f t="array" ref="F458">INDEX(Лист2!$D:$D,MATCH(1,(Лист2!$A:$A=A458)*(Лист2!$B:$B=B458),0))</f>
        <v>890</v>
      </c>
      <c r="G458" s="5" cm="1">
        <f t="array" ref="G458">INDEX(Лист2!$E:$E,MATCH(1,(Лист2!$A:$A=A458)*(Лист2!$B:$B=B458),0))</f>
        <v>777</v>
      </c>
      <c r="H458" s="9">
        <f t="shared" si="14"/>
        <v>81566.100000000006</v>
      </c>
      <c r="I458">
        <f t="shared" si="15"/>
        <v>20</v>
      </c>
    </row>
    <row r="459" spans="1:9" ht="14.25" hidden="1" customHeight="1" x14ac:dyDescent="0.3">
      <c r="A459" s="19">
        <v>43966</v>
      </c>
      <c r="B459" s="20" t="s">
        <v>18</v>
      </c>
      <c r="C459" s="21">
        <v>16498.5</v>
      </c>
      <c r="D459" s="22">
        <v>1370482.5</v>
      </c>
      <c r="E459" s="5" cm="1">
        <f t="array" ref="E459">INDEX(Лист2!$C:$C,MATCH(1,(Лист2!$A:$A=A459)*(Лист2!$B:$B=B459),0))</f>
        <v>15</v>
      </c>
      <c r="F459" s="30" cm="1">
        <f t="array" ref="F459">INDEX(Лист2!$D:$D,MATCH(1,(Лист2!$A:$A=A459)*(Лист2!$B:$B=B459),0))</f>
        <v>980</v>
      </c>
      <c r="G459" s="5" cm="1">
        <f t="array" ref="G459">INDEX(Лист2!$E:$E,MATCH(1,(Лист2!$A:$A=A459)*(Лист2!$B:$B=B459),0))</f>
        <v>867</v>
      </c>
      <c r="H459" s="9">
        <f t="shared" si="14"/>
        <v>91365.5</v>
      </c>
      <c r="I459">
        <f t="shared" si="15"/>
        <v>20</v>
      </c>
    </row>
    <row r="460" spans="1:9" ht="14.25" hidden="1" customHeight="1" x14ac:dyDescent="0.3">
      <c r="A460" s="15">
        <v>43978</v>
      </c>
      <c r="B460" s="16" t="s">
        <v>19</v>
      </c>
      <c r="C460" s="17">
        <v>13203</v>
      </c>
      <c r="D460" s="18">
        <v>1211457</v>
      </c>
      <c r="E460" s="5" cm="1">
        <f t="array" ref="E460">INDEX(Лист2!$C:$C,MATCH(1,(Лист2!$A:$A=A460)*(Лист2!$B:$B=B460),0))</f>
        <v>15</v>
      </c>
      <c r="F460" s="30" cm="1">
        <f t="array" ref="F460">INDEX(Лист2!$D:$D,MATCH(1,(Лист2!$A:$A=A460)*(Лист2!$B:$B=B460),0))</f>
        <v>809</v>
      </c>
      <c r="G460" s="5" cm="1">
        <f t="array" ref="G460">INDEX(Лист2!$E:$E,MATCH(1,(Лист2!$A:$A=A460)*(Лист2!$B:$B=B460),0))</f>
        <v>702</v>
      </c>
      <c r="H460" s="9">
        <f t="shared" si="14"/>
        <v>80763.8</v>
      </c>
      <c r="I460">
        <f t="shared" si="15"/>
        <v>22</v>
      </c>
    </row>
    <row r="461" spans="1:9" ht="14.25" hidden="1" customHeight="1" x14ac:dyDescent="0.3">
      <c r="A461" s="19">
        <v>43973</v>
      </c>
      <c r="B461" s="20" t="s">
        <v>19</v>
      </c>
      <c r="C461" s="21">
        <v>15802.5</v>
      </c>
      <c r="D461" s="22">
        <v>1411909.5</v>
      </c>
      <c r="E461" s="5" cm="1">
        <f t="array" ref="E461">INDEX(Лист2!$C:$C,MATCH(1,(Лист2!$A:$A=A461)*(Лист2!$B:$B=B461),0))</f>
        <v>15</v>
      </c>
      <c r="F461" s="30" cm="1">
        <f t="array" ref="F461">INDEX(Лист2!$D:$D,MATCH(1,(Лист2!$A:$A=A461)*(Лист2!$B:$B=B461),0))</f>
        <v>903</v>
      </c>
      <c r="G461" s="5" cm="1">
        <f t="array" ref="G461">INDEX(Лист2!$E:$E,MATCH(1,(Лист2!$A:$A=A461)*(Лист2!$B:$B=B461),0))</f>
        <v>792</v>
      </c>
      <c r="H461" s="9">
        <f t="shared" si="14"/>
        <v>94127.3</v>
      </c>
      <c r="I461">
        <f t="shared" si="15"/>
        <v>21</v>
      </c>
    </row>
    <row r="462" spans="1:9" ht="14.25" hidden="1" customHeight="1" x14ac:dyDescent="0.3">
      <c r="A462" s="15">
        <v>43983</v>
      </c>
      <c r="B462" s="16" t="s">
        <v>19</v>
      </c>
      <c r="C462" s="17">
        <v>16476</v>
      </c>
      <c r="D462" s="18">
        <v>1565632.5</v>
      </c>
      <c r="E462" s="5" cm="1">
        <f t="array" ref="E462">INDEX(Лист2!$C:$C,MATCH(1,(Лист2!$A:$A=A462)*(Лист2!$B:$B=B462),0))</f>
        <v>16</v>
      </c>
      <c r="F462" s="30" cm="1">
        <f t="array" ref="F462">INDEX(Лист2!$D:$D,MATCH(1,(Лист2!$A:$A=A462)*(Лист2!$B:$B=B462),0))</f>
        <v>1019</v>
      </c>
      <c r="G462" s="5" cm="1">
        <f t="array" ref="G462">INDEX(Лист2!$E:$E,MATCH(1,(Лист2!$A:$A=A462)*(Лист2!$B:$B=B462),0))</f>
        <v>895</v>
      </c>
      <c r="H462" s="9">
        <f t="shared" si="14"/>
        <v>97852.03125</v>
      </c>
      <c r="I462">
        <f t="shared" si="15"/>
        <v>23</v>
      </c>
    </row>
    <row r="463" spans="1:9" ht="14.25" hidden="1" customHeight="1" x14ac:dyDescent="0.3">
      <c r="A463" s="19">
        <v>43962</v>
      </c>
      <c r="B463" s="20" t="s">
        <v>19</v>
      </c>
      <c r="C463" s="21">
        <v>12654</v>
      </c>
      <c r="D463" s="22">
        <v>1081158</v>
      </c>
      <c r="E463" s="5" cm="1">
        <f t="array" ref="E463">INDEX(Лист2!$C:$C,MATCH(1,(Лист2!$A:$A=A463)*(Лист2!$B:$B=B463),0))</f>
        <v>15</v>
      </c>
      <c r="F463" s="30" cm="1">
        <f t="array" ref="F463">INDEX(Лист2!$D:$D,MATCH(1,(Лист2!$A:$A=A463)*(Лист2!$B:$B=B463),0))</f>
        <v>684</v>
      </c>
      <c r="G463" s="5" cm="1">
        <f t="array" ref="G463">INDEX(Лист2!$E:$E,MATCH(1,(Лист2!$A:$A=A463)*(Лист2!$B:$B=B463),0))</f>
        <v>585</v>
      </c>
      <c r="H463" s="9">
        <f t="shared" si="14"/>
        <v>72077.2</v>
      </c>
      <c r="I463">
        <f t="shared" si="15"/>
        <v>20</v>
      </c>
    </row>
    <row r="464" spans="1:9" ht="14.25" hidden="1" customHeight="1" x14ac:dyDescent="0.3">
      <c r="A464" s="15">
        <v>43980</v>
      </c>
      <c r="B464" s="16" t="s">
        <v>18</v>
      </c>
      <c r="C464" s="17">
        <v>19647</v>
      </c>
      <c r="D464" s="18">
        <v>1764669</v>
      </c>
      <c r="E464" s="5" cm="1">
        <f t="array" ref="E464">INDEX(Лист2!$C:$C,MATCH(1,(Лист2!$A:$A=A464)*(Лист2!$B:$B=B464),0))</f>
        <v>17</v>
      </c>
      <c r="F464" s="30" cm="1">
        <f t="array" ref="F464">INDEX(Лист2!$D:$D,MATCH(1,(Лист2!$A:$A=A464)*(Лист2!$B:$B=B464),0))</f>
        <v>1296</v>
      </c>
      <c r="G464" s="5" cm="1">
        <f t="array" ref="G464">INDEX(Лист2!$E:$E,MATCH(1,(Лист2!$A:$A=A464)*(Лист2!$B:$B=B464),0))</f>
        <v>1153</v>
      </c>
      <c r="H464" s="9">
        <f t="shared" si="14"/>
        <v>103804.05882352941</v>
      </c>
      <c r="I464">
        <f t="shared" si="15"/>
        <v>22</v>
      </c>
    </row>
    <row r="465" spans="1:9" ht="14.25" hidden="1" customHeight="1" x14ac:dyDescent="0.3">
      <c r="A465" s="19">
        <v>43969</v>
      </c>
      <c r="B465" s="20" t="s">
        <v>19</v>
      </c>
      <c r="C465" s="21">
        <v>12450</v>
      </c>
      <c r="D465" s="22">
        <v>1115146.5</v>
      </c>
      <c r="E465" s="5" cm="1">
        <f t="array" ref="E465">INDEX(Лист2!$C:$C,MATCH(1,(Лист2!$A:$A=A465)*(Лист2!$B:$B=B465),0))</f>
        <v>15</v>
      </c>
      <c r="F465" s="30" cm="1">
        <f t="array" ref="F465">INDEX(Лист2!$D:$D,MATCH(1,(Лист2!$A:$A=A465)*(Лист2!$B:$B=B465),0))</f>
        <v>729</v>
      </c>
      <c r="G465" s="5" cm="1">
        <f t="array" ref="G465">INDEX(Лист2!$E:$E,MATCH(1,(Лист2!$A:$A=A465)*(Лист2!$B:$B=B465),0))</f>
        <v>636</v>
      </c>
      <c r="H465" s="9">
        <f t="shared" si="14"/>
        <v>74343.100000000006</v>
      </c>
      <c r="I465">
        <f t="shared" si="15"/>
        <v>21</v>
      </c>
    </row>
    <row r="466" spans="1:9" ht="14.25" hidden="1" customHeight="1" x14ac:dyDescent="0.3">
      <c r="A466" s="15">
        <v>43965</v>
      </c>
      <c r="B466" s="16" t="s">
        <v>19</v>
      </c>
      <c r="C466" s="17">
        <v>11161.5</v>
      </c>
      <c r="D466" s="18">
        <v>963502.5</v>
      </c>
      <c r="E466" s="5" cm="1">
        <f t="array" ref="E466">INDEX(Лист2!$C:$C,MATCH(1,(Лист2!$A:$A=A466)*(Лист2!$B:$B=B466),0))</f>
        <v>15</v>
      </c>
      <c r="F466" s="30" cm="1">
        <f t="array" ref="F466">INDEX(Лист2!$D:$D,MATCH(1,(Лист2!$A:$A=A466)*(Лист2!$B:$B=B466),0))</f>
        <v>638</v>
      </c>
      <c r="G466" s="5" cm="1">
        <f t="array" ref="G466">INDEX(Лист2!$E:$E,MATCH(1,(Лист2!$A:$A=A466)*(Лист2!$B:$B=B466),0))</f>
        <v>548</v>
      </c>
      <c r="H466" s="9">
        <f t="shared" si="14"/>
        <v>64233.5</v>
      </c>
      <c r="I466">
        <f t="shared" si="15"/>
        <v>20</v>
      </c>
    </row>
    <row r="467" spans="1:9" ht="14.25" hidden="1" customHeight="1" x14ac:dyDescent="0.3">
      <c r="A467" s="19">
        <v>43966</v>
      </c>
      <c r="B467" s="20" t="s">
        <v>19</v>
      </c>
      <c r="C467" s="21">
        <v>12229.5</v>
      </c>
      <c r="D467" s="22">
        <v>1122730.5</v>
      </c>
      <c r="E467" s="5" cm="1">
        <f t="array" ref="E467">INDEX(Лист2!$C:$C,MATCH(1,(Лист2!$A:$A=A467)*(Лист2!$B:$B=B467),0))</f>
        <v>15</v>
      </c>
      <c r="F467" s="30" cm="1">
        <f t="array" ref="F467">INDEX(Лист2!$D:$D,MATCH(1,(Лист2!$A:$A=A467)*(Лист2!$B:$B=B467),0))</f>
        <v>688</v>
      </c>
      <c r="G467" s="5" cm="1">
        <f t="array" ref="G467">INDEX(Лист2!$E:$E,MATCH(1,(Лист2!$A:$A=A467)*(Лист2!$B:$B=B467),0))</f>
        <v>598</v>
      </c>
      <c r="H467" s="9">
        <f t="shared" si="14"/>
        <v>74848.7</v>
      </c>
      <c r="I467">
        <f t="shared" si="15"/>
        <v>20</v>
      </c>
    </row>
    <row r="468" spans="1:9" ht="14.25" hidden="1" customHeight="1" x14ac:dyDescent="0.3">
      <c r="A468" s="15">
        <v>43978</v>
      </c>
      <c r="B468" s="16" t="s">
        <v>20</v>
      </c>
      <c r="C468" s="17">
        <v>28050</v>
      </c>
      <c r="D468" s="18">
        <v>2458555.5</v>
      </c>
      <c r="E468" s="5" cm="1">
        <f t="array" ref="E468">INDEX(Лист2!$C:$C,MATCH(1,(Лист2!$A:$A=A468)*(Лист2!$B:$B=B468),0))</f>
        <v>20</v>
      </c>
      <c r="F468" s="30" cm="1">
        <f t="array" ref="F468">INDEX(Лист2!$D:$D,MATCH(1,(Лист2!$A:$A=A468)*(Лист2!$B:$B=B468),0))</f>
        <v>1873</v>
      </c>
      <c r="G468" s="5" cm="1">
        <f t="array" ref="G468">INDEX(Лист2!$E:$E,MATCH(1,(Лист2!$A:$A=A468)*(Лист2!$B:$B=B468),0))</f>
        <v>1715</v>
      </c>
      <c r="H468" s="9">
        <f t="shared" si="14"/>
        <v>122927.77499999999</v>
      </c>
      <c r="I468">
        <f t="shared" si="15"/>
        <v>22</v>
      </c>
    </row>
    <row r="469" spans="1:9" ht="14.25" hidden="1" customHeight="1" x14ac:dyDescent="0.3">
      <c r="A469" s="19">
        <v>43973</v>
      </c>
      <c r="B469" s="20" t="s">
        <v>20</v>
      </c>
      <c r="C469" s="21">
        <v>30781.5</v>
      </c>
      <c r="D469" s="22">
        <v>2540715</v>
      </c>
      <c r="E469" s="5" cm="1">
        <f t="array" ref="E469">INDEX(Лист2!$C:$C,MATCH(1,(Лист2!$A:$A=A469)*(Лист2!$B:$B=B469),0))</f>
        <v>19</v>
      </c>
      <c r="F469" s="30" cm="1">
        <f t="array" ref="F469">INDEX(Лист2!$D:$D,MATCH(1,(Лист2!$A:$A=A469)*(Лист2!$B:$B=B469),0))</f>
        <v>1859</v>
      </c>
      <c r="G469" s="5" cm="1">
        <f t="array" ref="G469">INDEX(Лист2!$E:$E,MATCH(1,(Лист2!$A:$A=A469)*(Лист2!$B:$B=B469),0))</f>
        <v>1697</v>
      </c>
      <c r="H469" s="9">
        <f t="shared" si="14"/>
        <v>133721.84210526315</v>
      </c>
      <c r="I469">
        <f t="shared" si="15"/>
        <v>21</v>
      </c>
    </row>
    <row r="470" spans="1:9" ht="14.25" hidden="1" customHeight="1" x14ac:dyDescent="0.3">
      <c r="A470" s="15">
        <v>43983</v>
      </c>
      <c r="B470" s="16" t="s">
        <v>20</v>
      </c>
      <c r="C470" s="17">
        <v>27960</v>
      </c>
      <c r="D470" s="18">
        <v>2538967.5</v>
      </c>
      <c r="E470" s="5" cm="1">
        <f t="array" ref="E470">INDEX(Лист2!$C:$C,MATCH(1,(Лист2!$A:$A=A470)*(Лист2!$B:$B=B470),0))</f>
        <v>21</v>
      </c>
      <c r="F470" s="30" cm="1">
        <f t="array" ref="F470">INDEX(Лист2!$D:$D,MATCH(1,(Лист2!$A:$A=A470)*(Лист2!$B:$B=B470),0))</f>
        <v>1879</v>
      </c>
      <c r="G470" s="5" cm="1">
        <f t="array" ref="G470">INDEX(Лист2!$E:$E,MATCH(1,(Лист2!$A:$A=A470)*(Лист2!$B:$B=B470),0))</f>
        <v>1720</v>
      </c>
      <c r="H470" s="9">
        <f t="shared" si="14"/>
        <v>120903.21428571429</v>
      </c>
      <c r="I470">
        <f t="shared" si="15"/>
        <v>23</v>
      </c>
    </row>
    <row r="471" spans="1:9" ht="14.25" hidden="1" customHeight="1" x14ac:dyDescent="0.3">
      <c r="A471" s="19">
        <v>43962</v>
      </c>
      <c r="B471" s="20" t="s">
        <v>20</v>
      </c>
      <c r="C471" s="21">
        <v>23629.5</v>
      </c>
      <c r="D471" s="22">
        <v>2164365</v>
      </c>
      <c r="E471" s="5" cm="1">
        <f t="array" ref="E471">INDEX(Лист2!$C:$C,MATCH(1,(Лист2!$A:$A=A471)*(Лист2!$B:$B=B471),0))</f>
        <v>19</v>
      </c>
      <c r="F471" s="30" cm="1">
        <f t="array" ref="F471">INDEX(Лист2!$D:$D,MATCH(1,(Лист2!$A:$A=A471)*(Лист2!$B:$B=B471),0))</f>
        <v>1527</v>
      </c>
      <c r="G471" s="5" cm="1">
        <f t="array" ref="G471">INDEX(Лист2!$E:$E,MATCH(1,(Лист2!$A:$A=A471)*(Лист2!$B:$B=B471),0))</f>
        <v>1389</v>
      </c>
      <c r="H471" s="9">
        <f t="shared" si="14"/>
        <v>113913.94736842105</v>
      </c>
      <c r="I471">
        <f t="shared" si="15"/>
        <v>20</v>
      </c>
    </row>
    <row r="472" spans="1:9" ht="14.25" hidden="1" customHeight="1" x14ac:dyDescent="0.3">
      <c r="A472" s="15">
        <v>43980</v>
      </c>
      <c r="B472" s="16" t="s">
        <v>19</v>
      </c>
      <c r="C472" s="17">
        <v>17052</v>
      </c>
      <c r="D472" s="18">
        <v>1549020</v>
      </c>
      <c r="E472" s="5" cm="1">
        <f t="array" ref="E472">INDEX(Лист2!$C:$C,MATCH(1,(Лист2!$A:$A=A472)*(Лист2!$B:$B=B472),0))</f>
        <v>16</v>
      </c>
      <c r="F472" s="30" cm="1">
        <f t="array" ref="F472">INDEX(Лист2!$D:$D,MATCH(1,(Лист2!$A:$A=A472)*(Лист2!$B:$B=B472),0))</f>
        <v>981</v>
      </c>
      <c r="G472" s="5" cm="1">
        <f t="array" ref="G472">INDEX(Лист2!$E:$E,MATCH(1,(Лист2!$A:$A=A472)*(Лист2!$B:$B=B472),0))</f>
        <v>859</v>
      </c>
      <c r="H472" s="9">
        <f t="shared" si="14"/>
        <v>96813.75</v>
      </c>
      <c r="I472">
        <f t="shared" si="15"/>
        <v>22</v>
      </c>
    </row>
    <row r="473" spans="1:9" ht="14.25" hidden="1" customHeight="1" x14ac:dyDescent="0.3">
      <c r="A473" s="19">
        <v>43969</v>
      </c>
      <c r="B473" s="20" t="s">
        <v>20</v>
      </c>
      <c r="C473" s="21">
        <v>27181.5</v>
      </c>
      <c r="D473" s="22">
        <v>2324490</v>
      </c>
      <c r="E473" s="5" cm="1">
        <f t="array" ref="E473">INDEX(Лист2!$C:$C,MATCH(1,(Лист2!$A:$A=A473)*(Лист2!$B:$B=B473),0))</f>
        <v>19</v>
      </c>
      <c r="F473" s="30" cm="1">
        <f t="array" ref="F473">INDEX(Лист2!$D:$D,MATCH(1,(Лист2!$A:$A=A473)*(Лист2!$B:$B=B473),0))</f>
        <v>1741</v>
      </c>
      <c r="G473" s="5" cm="1">
        <f t="array" ref="G473">INDEX(Лист2!$E:$E,MATCH(1,(Лист2!$A:$A=A473)*(Лист2!$B:$B=B473),0))</f>
        <v>1597</v>
      </c>
      <c r="H473" s="9">
        <f t="shared" si="14"/>
        <v>122341.57894736843</v>
      </c>
      <c r="I473">
        <f t="shared" si="15"/>
        <v>21</v>
      </c>
    </row>
    <row r="474" spans="1:9" ht="14.25" hidden="1" customHeight="1" x14ac:dyDescent="0.3">
      <c r="A474" s="15">
        <v>43965</v>
      </c>
      <c r="B474" s="16" t="s">
        <v>20</v>
      </c>
      <c r="C474" s="17">
        <v>25656</v>
      </c>
      <c r="D474" s="18">
        <v>2225341.5</v>
      </c>
      <c r="E474" s="5" cm="1">
        <f t="array" ref="E474">INDEX(Лист2!$C:$C,MATCH(1,(Лист2!$A:$A=A474)*(Лист2!$B:$B=B474),0))</f>
        <v>19</v>
      </c>
      <c r="F474" s="30" cm="1">
        <f t="array" ref="F474">INDEX(Лист2!$D:$D,MATCH(1,(Лист2!$A:$A=A474)*(Лист2!$B:$B=B474),0))</f>
        <v>1635</v>
      </c>
      <c r="G474" s="5" cm="1">
        <f t="array" ref="G474">INDEX(Лист2!$E:$E,MATCH(1,(Лист2!$A:$A=A474)*(Лист2!$B:$B=B474),0))</f>
        <v>1487</v>
      </c>
      <c r="H474" s="9">
        <f t="shared" si="14"/>
        <v>117123.23684210527</v>
      </c>
      <c r="I474">
        <f t="shared" si="15"/>
        <v>20</v>
      </c>
    </row>
    <row r="475" spans="1:9" ht="14.25" hidden="1" customHeight="1" x14ac:dyDescent="0.3">
      <c r="A475" s="19">
        <v>43966</v>
      </c>
      <c r="B475" s="20" t="s">
        <v>20</v>
      </c>
      <c r="C475" s="21">
        <v>29283</v>
      </c>
      <c r="D475" s="22">
        <v>2477487</v>
      </c>
      <c r="E475" s="5" cm="1">
        <f t="array" ref="E475">INDEX(Лист2!$C:$C,MATCH(1,(Лист2!$A:$A=A475)*(Лист2!$B:$B=B475),0))</f>
        <v>19</v>
      </c>
      <c r="F475" s="30" cm="1">
        <f t="array" ref="F475">INDEX(Лист2!$D:$D,MATCH(1,(Лист2!$A:$A=A475)*(Лист2!$B:$B=B475),0))</f>
        <v>1780</v>
      </c>
      <c r="G475" s="5" cm="1">
        <f t="array" ref="G475">INDEX(Лист2!$E:$E,MATCH(1,(Лист2!$A:$A=A475)*(Лист2!$B:$B=B475),0))</f>
        <v>1615</v>
      </c>
      <c r="H475" s="9">
        <f t="shared" si="14"/>
        <v>130394.05263157895</v>
      </c>
      <c r="I475">
        <f t="shared" si="15"/>
        <v>20</v>
      </c>
    </row>
    <row r="476" spans="1:9" ht="14.25" hidden="1" customHeight="1" x14ac:dyDescent="0.3">
      <c r="A476" s="15">
        <v>43980</v>
      </c>
      <c r="B476" s="16" t="s">
        <v>20</v>
      </c>
      <c r="C476" s="17">
        <v>32782.5</v>
      </c>
      <c r="D476" s="18">
        <v>2854741.5</v>
      </c>
      <c r="E476" s="5" cm="1">
        <f t="array" ref="E476">INDEX(Лист2!$C:$C,MATCH(1,(Лист2!$A:$A=A476)*(Лист2!$B:$B=B476),0))</f>
        <v>20</v>
      </c>
      <c r="F476" s="30" cm="1">
        <f t="array" ref="F476">INDEX(Лист2!$D:$D,MATCH(1,(Лист2!$A:$A=A476)*(Лист2!$B:$B=B476),0))</f>
        <v>2064</v>
      </c>
      <c r="G476" s="5" cm="1">
        <f t="array" ref="G476">INDEX(Лист2!$E:$E,MATCH(1,(Лист2!$A:$A=A476)*(Лист2!$B:$B=B476),0))</f>
        <v>1896</v>
      </c>
      <c r="H476" s="9">
        <f t="shared" si="14"/>
        <v>142737.07500000001</v>
      </c>
      <c r="I476">
        <f t="shared" si="15"/>
        <v>22</v>
      </c>
    </row>
    <row r="477" spans="1:9" ht="14.25" hidden="1" customHeight="1" x14ac:dyDescent="0.3">
      <c r="A477" s="19">
        <v>43978</v>
      </c>
      <c r="B477" s="20" t="s">
        <v>21</v>
      </c>
      <c r="C477" s="21">
        <v>215592</v>
      </c>
      <c r="D477" s="22">
        <v>22342300.5</v>
      </c>
      <c r="E477" s="5" cm="1">
        <f t="array" ref="E477">INDEX(Лист2!$C:$C,MATCH(1,(Лист2!$A:$A=A477)*(Лист2!$B:$B=B477),0))</f>
        <v>59</v>
      </c>
      <c r="F477" s="30" cm="1">
        <f t="array" ref="F477">INDEX(Лист2!$D:$D,MATCH(1,(Лист2!$A:$A=A477)*(Лист2!$B:$B=B477),0))</f>
        <v>13942</v>
      </c>
      <c r="G477" s="5" cm="1">
        <f t="array" ref="G477">INDEX(Лист2!$E:$E,MATCH(1,(Лист2!$A:$A=A477)*(Лист2!$B:$B=B477),0))</f>
        <v>12986</v>
      </c>
      <c r="H477" s="9">
        <f t="shared" si="14"/>
        <v>378683.05932203389</v>
      </c>
      <c r="I477">
        <f t="shared" si="15"/>
        <v>22</v>
      </c>
    </row>
    <row r="478" spans="1:9" ht="14.25" hidden="1" customHeight="1" x14ac:dyDescent="0.3">
      <c r="A478" s="15">
        <v>43973</v>
      </c>
      <c r="B478" s="16" t="s">
        <v>21</v>
      </c>
      <c r="C478" s="17">
        <v>228334.5</v>
      </c>
      <c r="D478" s="18">
        <v>22380772.5</v>
      </c>
      <c r="E478" s="5" cm="1">
        <f t="array" ref="E478">INDEX(Лист2!$C:$C,MATCH(1,(Лист2!$A:$A=A478)*(Лист2!$B:$B=B478),0))</f>
        <v>60</v>
      </c>
      <c r="F478" s="30" cm="1">
        <f t="array" ref="F478">INDEX(Лист2!$D:$D,MATCH(1,(Лист2!$A:$A=A478)*(Лист2!$B:$B=B478),0))</f>
        <v>14050</v>
      </c>
      <c r="G478" s="5" cm="1">
        <f t="array" ref="G478">INDEX(Лист2!$E:$E,MATCH(1,(Лист2!$A:$A=A478)*(Лист2!$B:$B=B478),0))</f>
        <v>13027</v>
      </c>
      <c r="H478" s="9">
        <f t="shared" si="14"/>
        <v>373012.875</v>
      </c>
      <c r="I478">
        <f t="shared" si="15"/>
        <v>21</v>
      </c>
    </row>
    <row r="479" spans="1:9" ht="14.25" hidden="1" customHeight="1" x14ac:dyDescent="0.3">
      <c r="A479" s="19">
        <v>43983</v>
      </c>
      <c r="B479" s="20" t="s">
        <v>21</v>
      </c>
      <c r="C479" s="21">
        <v>188776.5</v>
      </c>
      <c r="D479" s="22">
        <v>19465372.5</v>
      </c>
      <c r="E479" s="5" cm="1">
        <f t="array" ref="E479">INDEX(Лист2!$C:$C,MATCH(1,(Лист2!$A:$A=A479)*(Лист2!$B:$B=B479),0))</f>
        <v>59</v>
      </c>
      <c r="F479" s="30" cm="1">
        <f t="array" ref="F479">INDEX(Лист2!$D:$D,MATCH(1,(Лист2!$A:$A=A479)*(Лист2!$B:$B=B479),0))</f>
        <v>12299</v>
      </c>
      <c r="G479" s="5" cm="1">
        <f t="array" ref="G479">INDEX(Лист2!$E:$E,MATCH(1,(Лист2!$A:$A=A479)*(Лист2!$B:$B=B479),0))</f>
        <v>11448</v>
      </c>
      <c r="H479" s="9">
        <f t="shared" si="14"/>
        <v>329921.56779661018</v>
      </c>
      <c r="I479">
        <f t="shared" si="15"/>
        <v>23</v>
      </c>
    </row>
    <row r="480" spans="1:9" ht="14.25" hidden="1" customHeight="1" x14ac:dyDescent="0.3">
      <c r="A480" s="15">
        <v>43962</v>
      </c>
      <c r="B480" s="16" t="s">
        <v>21</v>
      </c>
      <c r="C480" s="17">
        <v>175293</v>
      </c>
      <c r="D480" s="18">
        <v>17919144</v>
      </c>
      <c r="E480" s="5" cm="1">
        <f t="array" ref="E480">INDEX(Лист2!$C:$C,MATCH(1,(Лист2!$A:$A=A480)*(Лист2!$B:$B=B480),0))</f>
        <v>60</v>
      </c>
      <c r="F480" s="30" cm="1">
        <f t="array" ref="F480">INDEX(Лист2!$D:$D,MATCH(1,(Лист2!$A:$A=A480)*(Лист2!$B:$B=B480),0))</f>
        <v>11100</v>
      </c>
      <c r="G480" s="5" cm="1">
        <f t="array" ref="G480">INDEX(Лист2!$E:$E,MATCH(1,(Лист2!$A:$A=A480)*(Лист2!$B:$B=B480),0))</f>
        <v>10407</v>
      </c>
      <c r="H480" s="9">
        <f t="shared" si="14"/>
        <v>298652.40000000002</v>
      </c>
      <c r="I480">
        <f t="shared" si="15"/>
        <v>20</v>
      </c>
    </row>
    <row r="481" spans="1:9" ht="14.25" hidden="1" customHeight="1" x14ac:dyDescent="0.3">
      <c r="A481" s="19">
        <v>43969</v>
      </c>
      <c r="B481" s="20" t="s">
        <v>21</v>
      </c>
      <c r="C481" s="21">
        <v>201999</v>
      </c>
      <c r="D481" s="22">
        <v>20422435.5</v>
      </c>
      <c r="E481" s="5" cm="1">
        <f t="array" ref="E481">INDEX(Лист2!$C:$C,MATCH(1,(Лист2!$A:$A=A481)*(Лист2!$B:$B=B481),0))</f>
        <v>60</v>
      </c>
      <c r="F481" s="30" cm="1">
        <f t="array" ref="F481">INDEX(Лист2!$D:$D,MATCH(1,(Лист2!$A:$A=A481)*(Лист2!$B:$B=B481),0))</f>
        <v>12460</v>
      </c>
      <c r="G481" s="5" cm="1">
        <f t="array" ref="G481">INDEX(Лист2!$E:$E,MATCH(1,(Лист2!$A:$A=A481)*(Лист2!$B:$B=B481),0))</f>
        <v>11665</v>
      </c>
      <c r="H481" s="9">
        <f t="shared" si="14"/>
        <v>340373.92499999999</v>
      </c>
      <c r="I481">
        <f t="shared" si="15"/>
        <v>21</v>
      </c>
    </row>
    <row r="482" spans="1:9" ht="14.25" hidden="1" customHeight="1" x14ac:dyDescent="0.3">
      <c r="A482" s="15">
        <v>43965</v>
      </c>
      <c r="B482" s="16" t="s">
        <v>21</v>
      </c>
      <c r="C482" s="17">
        <v>197946</v>
      </c>
      <c r="D482" s="18">
        <v>19942435.5</v>
      </c>
      <c r="E482" s="5" cm="1">
        <f t="array" ref="E482">INDEX(Лист2!$C:$C,MATCH(1,(Лист2!$A:$A=A482)*(Лист2!$B:$B=B482),0))</f>
        <v>60</v>
      </c>
      <c r="F482" s="30" cm="1">
        <f t="array" ref="F482">INDEX(Лист2!$D:$D,MATCH(1,(Лист2!$A:$A=A482)*(Лист2!$B:$B=B482),0))</f>
        <v>11935</v>
      </c>
      <c r="G482" s="5" cm="1">
        <f t="array" ref="G482">INDEX(Лист2!$E:$E,MATCH(1,(Лист2!$A:$A=A482)*(Лист2!$B:$B=B482),0))</f>
        <v>11178</v>
      </c>
      <c r="H482" s="9">
        <f t="shared" si="14"/>
        <v>332373.92499999999</v>
      </c>
      <c r="I482">
        <f t="shared" si="15"/>
        <v>20</v>
      </c>
    </row>
    <row r="483" spans="1:9" ht="14.25" hidden="1" customHeight="1" x14ac:dyDescent="0.3">
      <c r="A483" s="19">
        <v>43966</v>
      </c>
      <c r="B483" s="20" t="s">
        <v>21</v>
      </c>
      <c r="C483" s="21">
        <v>230896.5</v>
      </c>
      <c r="D483" s="22">
        <v>23085222</v>
      </c>
      <c r="E483" s="5" cm="1">
        <f t="array" ref="E483">INDEX(Лист2!$C:$C,MATCH(1,(Лист2!$A:$A=A483)*(Лист2!$B:$B=B483),0))</f>
        <v>60</v>
      </c>
      <c r="F483" s="30" cm="1">
        <f t="array" ref="F483">INDEX(Лист2!$D:$D,MATCH(1,(Лист2!$A:$A=A483)*(Лист2!$B:$B=B483),0))</f>
        <v>13544</v>
      </c>
      <c r="G483" s="5" cm="1">
        <f t="array" ref="G483">INDEX(Лист2!$E:$E,MATCH(1,(Лист2!$A:$A=A483)*(Лист2!$B:$B=B483),0))</f>
        <v>12643</v>
      </c>
      <c r="H483" s="9">
        <f t="shared" si="14"/>
        <v>384753.7</v>
      </c>
      <c r="I483">
        <f t="shared" si="15"/>
        <v>20</v>
      </c>
    </row>
    <row r="484" spans="1:9" ht="14.25" hidden="1" customHeight="1" x14ac:dyDescent="0.3">
      <c r="A484" s="15">
        <v>43978</v>
      </c>
      <c r="B484" s="16" t="s">
        <v>22</v>
      </c>
      <c r="C484" s="17">
        <v>203532</v>
      </c>
      <c r="D484" s="18">
        <v>20953324.5</v>
      </c>
      <c r="E484" s="5" cm="1">
        <f t="array" ref="E484">INDEX(Лист2!$C:$C,MATCH(1,(Лист2!$A:$A=A484)*(Лист2!$B:$B=B484),0))</f>
        <v>54</v>
      </c>
      <c r="F484" s="30" cm="1">
        <f t="array" ref="F484">INDEX(Лист2!$D:$D,MATCH(1,(Лист2!$A:$A=A484)*(Лист2!$B:$B=B484),0))</f>
        <v>13091</v>
      </c>
      <c r="G484" s="5" cm="1">
        <f t="array" ref="G484">INDEX(Лист2!$E:$E,MATCH(1,(Лист2!$A:$A=A484)*(Лист2!$B:$B=B484),0))</f>
        <v>12216</v>
      </c>
      <c r="H484" s="9">
        <f t="shared" si="14"/>
        <v>388024.52777777775</v>
      </c>
      <c r="I484">
        <f t="shared" si="15"/>
        <v>22</v>
      </c>
    </row>
    <row r="485" spans="1:9" ht="14.25" hidden="1" customHeight="1" x14ac:dyDescent="0.3">
      <c r="A485" s="19">
        <v>43973</v>
      </c>
      <c r="B485" s="20" t="s">
        <v>22</v>
      </c>
      <c r="C485" s="21">
        <v>214428</v>
      </c>
      <c r="D485" s="22">
        <v>20812585.5</v>
      </c>
      <c r="E485" s="5" cm="1">
        <f t="array" ref="E485">INDEX(Лист2!$C:$C,MATCH(1,(Лист2!$A:$A=A485)*(Лист2!$B:$B=B485),0))</f>
        <v>54</v>
      </c>
      <c r="F485" s="30" cm="1">
        <f t="array" ref="F485">INDEX(Лист2!$D:$D,MATCH(1,(Лист2!$A:$A=A485)*(Лист2!$B:$B=B485),0))</f>
        <v>13014</v>
      </c>
      <c r="G485" s="5" cm="1">
        <f t="array" ref="G485">INDEX(Лист2!$E:$E,MATCH(1,(Лист2!$A:$A=A485)*(Лист2!$B:$B=B485),0))</f>
        <v>12095</v>
      </c>
      <c r="H485" s="9">
        <f t="shared" si="14"/>
        <v>385418.25</v>
      </c>
      <c r="I485">
        <f t="shared" si="15"/>
        <v>21</v>
      </c>
    </row>
    <row r="486" spans="1:9" ht="14.25" hidden="1" customHeight="1" x14ac:dyDescent="0.3">
      <c r="A486" s="15">
        <v>43983</v>
      </c>
      <c r="B486" s="16" t="s">
        <v>22</v>
      </c>
      <c r="C486" s="17">
        <v>183228</v>
      </c>
      <c r="D486" s="18">
        <v>18914194.5</v>
      </c>
      <c r="E486" s="5" cm="1">
        <f t="array" ref="E486">INDEX(Лист2!$C:$C,MATCH(1,(Лист2!$A:$A=A486)*(Лист2!$B:$B=B486),0))</f>
        <v>54</v>
      </c>
      <c r="F486" s="30" cm="1">
        <f t="array" ref="F486">INDEX(Лист2!$D:$D,MATCH(1,(Лист2!$A:$A=A486)*(Лист2!$B:$B=B486),0))</f>
        <v>11864</v>
      </c>
      <c r="G486" s="5" cm="1">
        <f t="array" ref="G486">INDEX(Лист2!$E:$E,MATCH(1,(Лист2!$A:$A=A486)*(Лист2!$B:$B=B486),0))</f>
        <v>11071</v>
      </c>
      <c r="H486" s="9">
        <f t="shared" si="14"/>
        <v>350262.86111111112</v>
      </c>
      <c r="I486">
        <f t="shared" si="15"/>
        <v>23</v>
      </c>
    </row>
    <row r="487" spans="1:9" ht="14.25" hidden="1" customHeight="1" x14ac:dyDescent="0.3">
      <c r="A487" s="19">
        <v>43962</v>
      </c>
      <c r="B487" s="20" t="s">
        <v>22</v>
      </c>
      <c r="C487" s="21">
        <v>166948.5</v>
      </c>
      <c r="D487" s="22">
        <v>16971231</v>
      </c>
      <c r="E487" s="5" cm="1">
        <f t="array" ref="E487">INDEX(Лист2!$C:$C,MATCH(1,(Лист2!$A:$A=A487)*(Лист2!$B:$B=B487),0))</f>
        <v>54</v>
      </c>
      <c r="F487" s="30" cm="1">
        <f t="array" ref="F487">INDEX(Лист2!$D:$D,MATCH(1,(Лист2!$A:$A=A487)*(Лист2!$B:$B=B487),0))</f>
        <v>10570</v>
      </c>
      <c r="G487" s="5" cm="1">
        <f t="array" ref="G487">INDEX(Лист2!$E:$E,MATCH(1,(Лист2!$A:$A=A487)*(Лист2!$B:$B=B487),0))</f>
        <v>9926</v>
      </c>
      <c r="H487" s="9">
        <f t="shared" si="14"/>
        <v>314282.05555555556</v>
      </c>
      <c r="I487">
        <f t="shared" si="15"/>
        <v>20</v>
      </c>
    </row>
    <row r="488" spans="1:9" ht="14.25" hidden="1" customHeight="1" x14ac:dyDescent="0.3">
      <c r="A488" s="15">
        <v>43980</v>
      </c>
      <c r="B488" s="16" t="s">
        <v>21</v>
      </c>
      <c r="C488" s="17">
        <v>232102.5</v>
      </c>
      <c r="D488" s="18">
        <v>23120443.5</v>
      </c>
      <c r="E488" s="5" cm="1">
        <f t="array" ref="E488">INDEX(Лист2!$C:$C,MATCH(1,(Лист2!$A:$A=A488)*(Лист2!$B:$B=B488),0))</f>
        <v>59</v>
      </c>
      <c r="F488" s="30" cm="1">
        <f t="array" ref="F488">INDEX(Лист2!$D:$D,MATCH(1,(Лист2!$A:$A=A488)*(Лист2!$B:$B=B488),0))</f>
        <v>14507</v>
      </c>
      <c r="G488" s="5" cm="1">
        <f t="array" ref="G488">INDEX(Лист2!$E:$E,MATCH(1,(Лист2!$A:$A=A488)*(Лист2!$B:$B=B488),0))</f>
        <v>13386</v>
      </c>
      <c r="H488" s="9">
        <f t="shared" si="14"/>
        <v>391871.92372881353</v>
      </c>
      <c r="I488">
        <f t="shared" si="15"/>
        <v>22</v>
      </c>
    </row>
    <row r="489" spans="1:9" ht="14.25" hidden="1" customHeight="1" x14ac:dyDescent="0.3">
      <c r="A489" s="19">
        <v>43969</v>
      </c>
      <c r="B489" s="20" t="s">
        <v>22</v>
      </c>
      <c r="C489" s="21">
        <v>196560</v>
      </c>
      <c r="D489" s="22">
        <v>19855122</v>
      </c>
      <c r="E489" s="5" cm="1">
        <f t="array" ref="E489">INDEX(Лист2!$C:$C,MATCH(1,(Лист2!$A:$A=A489)*(Лист2!$B:$B=B489),0))</f>
        <v>54</v>
      </c>
      <c r="F489" s="30" cm="1">
        <f t="array" ref="F489">INDEX(Лист2!$D:$D,MATCH(1,(Лист2!$A:$A=A489)*(Лист2!$B:$B=B489),0))</f>
        <v>12012</v>
      </c>
      <c r="G489" s="5" cm="1">
        <f t="array" ref="G489">INDEX(Лист2!$E:$E,MATCH(1,(Лист2!$A:$A=A489)*(Лист2!$B:$B=B489),0))</f>
        <v>11308</v>
      </c>
      <c r="H489" s="9">
        <f t="shared" si="14"/>
        <v>367687.44444444444</v>
      </c>
      <c r="I489">
        <f t="shared" si="15"/>
        <v>21</v>
      </c>
    </row>
    <row r="490" spans="1:9" ht="14.25" hidden="1" customHeight="1" x14ac:dyDescent="0.3">
      <c r="A490" s="15">
        <v>43965</v>
      </c>
      <c r="B490" s="16" t="s">
        <v>22</v>
      </c>
      <c r="C490" s="17">
        <v>186496.5</v>
      </c>
      <c r="D490" s="18">
        <v>18640998</v>
      </c>
      <c r="E490" s="5" cm="1">
        <f t="array" ref="E490">INDEX(Лист2!$C:$C,MATCH(1,(Лист2!$A:$A=A490)*(Лист2!$B:$B=B490),0))</f>
        <v>54</v>
      </c>
      <c r="F490" s="30" cm="1">
        <f t="array" ref="F490">INDEX(Лист2!$D:$D,MATCH(1,(Лист2!$A:$A=A490)*(Лист2!$B:$B=B490),0))</f>
        <v>11194</v>
      </c>
      <c r="G490" s="5" cm="1">
        <f t="array" ref="G490">INDEX(Лист2!$E:$E,MATCH(1,(Лист2!$A:$A=A490)*(Лист2!$B:$B=B490),0))</f>
        <v>10554</v>
      </c>
      <c r="H490" s="9">
        <f t="shared" si="14"/>
        <v>345203.66666666669</v>
      </c>
      <c r="I490">
        <f t="shared" si="15"/>
        <v>20</v>
      </c>
    </row>
    <row r="491" spans="1:9" ht="14.25" hidden="1" customHeight="1" x14ac:dyDescent="0.3">
      <c r="A491" s="19">
        <v>43966</v>
      </c>
      <c r="B491" s="20" t="s">
        <v>22</v>
      </c>
      <c r="C491" s="21">
        <v>219772.5</v>
      </c>
      <c r="D491" s="22">
        <v>21895294.5</v>
      </c>
      <c r="E491" s="5" cm="1">
        <f t="array" ref="E491">INDEX(Лист2!$C:$C,MATCH(1,(Лист2!$A:$A=A491)*(Лист2!$B:$B=B491),0))</f>
        <v>54</v>
      </c>
      <c r="F491" s="30" cm="1">
        <f t="array" ref="F491">INDEX(Лист2!$D:$D,MATCH(1,(Лист2!$A:$A=A491)*(Лист2!$B:$B=B491),0))</f>
        <v>12791</v>
      </c>
      <c r="G491" s="5" cm="1">
        <f t="array" ref="G491">INDEX(Лист2!$E:$E,MATCH(1,(Лист2!$A:$A=A491)*(Лист2!$B:$B=B491),0))</f>
        <v>11950</v>
      </c>
      <c r="H491" s="9">
        <f t="shared" si="14"/>
        <v>405468.41666666669</v>
      </c>
      <c r="I491">
        <f t="shared" si="15"/>
        <v>20</v>
      </c>
    </row>
    <row r="492" spans="1:9" ht="14.25" hidden="1" customHeight="1" x14ac:dyDescent="0.3">
      <c r="A492" s="15">
        <v>43980</v>
      </c>
      <c r="B492" s="16" t="s">
        <v>22</v>
      </c>
      <c r="C492" s="17">
        <v>226476</v>
      </c>
      <c r="D492" s="18">
        <v>22416151.5</v>
      </c>
      <c r="E492" s="5" cm="1">
        <f t="array" ref="E492">INDEX(Лист2!$C:$C,MATCH(1,(Лист2!$A:$A=A492)*(Лист2!$B:$B=B492),0))</f>
        <v>54</v>
      </c>
      <c r="F492" s="30" cm="1">
        <f t="array" ref="F492">INDEX(Лист2!$D:$D,MATCH(1,(Лист2!$A:$A=A492)*(Лист2!$B:$B=B492),0))</f>
        <v>14031</v>
      </c>
      <c r="G492" s="5" cm="1">
        <f t="array" ref="G492">INDEX(Лист2!$E:$E,MATCH(1,(Лист2!$A:$A=A492)*(Лист2!$B:$B=B492),0))</f>
        <v>12943</v>
      </c>
      <c r="H492" s="9">
        <f t="shared" si="14"/>
        <v>415113.91666666669</v>
      </c>
      <c r="I492">
        <f t="shared" si="15"/>
        <v>22</v>
      </c>
    </row>
    <row r="493" spans="1:9" ht="14.25" hidden="1" customHeight="1" x14ac:dyDescent="0.3">
      <c r="A493" s="19">
        <v>43978</v>
      </c>
      <c r="B493" s="20" t="s">
        <v>24</v>
      </c>
      <c r="C493" s="21">
        <v>8362.5</v>
      </c>
      <c r="D493" s="22">
        <v>687684</v>
      </c>
      <c r="E493" s="5" cm="1">
        <f t="array" ref="E493">INDEX(Лист2!$C:$C,MATCH(1,(Лист2!$A:$A=A493)*(Лист2!$B:$B=B493),0))</f>
        <v>7</v>
      </c>
      <c r="F493" s="30" cm="1">
        <f t="array" ref="F493">INDEX(Лист2!$D:$D,MATCH(1,(Лист2!$A:$A=A493)*(Лист2!$B:$B=B493),0))</f>
        <v>409</v>
      </c>
      <c r="G493" s="5" cm="1">
        <f t="array" ref="G493">INDEX(Лист2!$E:$E,MATCH(1,(Лист2!$A:$A=A493)*(Лист2!$B:$B=B493),0))</f>
        <v>329</v>
      </c>
      <c r="H493" s="9">
        <f t="shared" si="14"/>
        <v>98240.571428571435</v>
      </c>
      <c r="I493">
        <f t="shared" si="15"/>
        <v>22</v>
      </c>
    </row>
    <row r="494" spans="1:9" ht="14.25" hidden="1" customHeight="1" x14ac:dyDescent="0.3">
      <c r="A494" s="15">
        <v>43973</v>
      </c>
      <c r="B494" s="16" t="s">
        <v>23</v>
      </c>
      <c r="C494" s="17">
        <v>17008.5</v>
      </c>
      <c r="D494" s="18">
        <v>1398771</v>
      </c>
      <c r="E494" s="5" cm="1">
        <f t="array" ref="E494">INDEX(Лист2!$C:$C,MATCH(1,(Лист2!$A:$A=A494)*(Лист2!$B:$B=B494),0))</f>
        <v>18</v>
      </c>
      <c r="F494" s="30" cm="1">
        <f t="array" ref="F494">INDEX(Лист2!$D:$D,MATCH(1,(Лист2!$A:$A=A494)*(Лист2!$B:$B=B494),0))</f>
        <v>985</v>
      </c>
      <c r="G494" s="5" cm="1">
        <f t="array" ref="G494">INDEX(Лист2!$E:$E,MATCH(1,(Лист2!$A:$A=A494)*(Лист2!$B:$B=B494),0))</f>
        <v>861</v>
      </c>
      <c r="H494" s="9">
        <f t="shared" si="14"/>
        <v>77709.5</v>
      </c>
      <c r="I494">
        <f t="shared" si="15"/>
        <v>21</v>
      </c>
    </row>
    <row r="495" spans="1:9" ht="14.25" hidden="1" customHeight="1" x14ac:dyDescent="0.3">
      <c r="A495" s="19">
        <v>43983</v>
      </c>
      <c r="B495" s="20" t="s">
        <v>25</v>
      </c>
      <c r="C495" s="21">
        <v>5166</v>
      </c>
      <c r="D495" s="22">
        <v>389013</v>
      </c>
      <c r="E495" s="5" cm="1">
        <f t="array" ref="E495">INDEX(Лист2!$C:$C,MATCH(1,(Лист2!$A:$A=A495)*(Лист2!$B:$B=B495),0))</f>
        <v>9</v>
      </c>
      <c r="F495" s="30" cm="1">
        <f t="array" ref="F495">INDEX(Лист2!$D:$D,MATCH(1,(Лист2!$A:$A=A495)*(Лист2!$B:$B=B495),0))</f>
        <v>294</v>
      </c>
      <c r="G495" s="5" cm="1">
        <f t="array" ref="G495">INDEX(Лист2!$E:$E,MATCH(1,(Лист2!$A:$A=A495)*(Лист2!$B:$B=B495),0))</f>
        <v>224</v>
      </c>
      <c r="H495" s="9">
        <f t="shared" si="14"/>
        <v>43223.666666666664</v>
      </c>
      <c r="I495">
        <f t="shared" si="15"/>
        <v>23</v>
      </c>
    </row>
    <row r="496" spans="1:9" ht="14.25" hidden="1" customHeight="1" x14ac:dyDescent="0.3">
      <c r="A496" s="15">
        <v>43962</v>
      </c>
      <c r="B496" s="16" t="s">
        <v>23</v>
      </c>
      <c r="C496" s="17">
        <v>10941</v>
      </c>
      <c r="D496" s="18">
        <v>880356</v>
      </c>
      <c r="E496" s="5" cm="1">
        <f t="array" ref="E496">INDEX(Лист2!$C:$C,MATCH(1,(Лист2!$A:$A=A496)*(Лист2!$B:$B=B496),0))</f>
        <v>15</v>
      </c>
      <c r="F496" s="30" cm="1">
        <f t="array" ref="F496">INDEX(Лист2!$D:$D,MATCH(1,(Лист2!$A:$A=A496)*(Лист2!$B:$B=B496),0))</f>
        <v>654</v>
      </c>
      <c r="G496" s="5" cm="1">
        <f t="array" ref="G496">INDEX(Лист2!$E:$E,MATCH(1,(Лист2!$A:$A=A496)*(Лист2!$B:$B=B496),0))</f>
        <v>564</v>
      </c>
      <c r="H496" s="9">
        <f t="shared" si="14"/>
        <v>58690.400000000001</v>
      </c>
      <c r="I496">
        <f t="shared" si="15"/>
        <v>20</v>
      </c>
    </row>
    <row r="497" spans="1:9" ht="14.25" hidden="1" customHeight="1" x14ac:dyDescent="0.3">
      <c r="A497" s="19">
        <v>43969</v>
      </c>
      <c r="B497" s="20" t="s">
        <v>23</v>
      </c>
      <c r="C497" s="21">
        <v>14497.5</v>
      </c>
      <c r="D497" s="22">
        <v>1230711</v>
      </c>
      <c r="E497" s="5" cm="1">
        <f t="array" ref="E497">INDEX(Лист2!$C:$C,MATCH(1,(Лист2!$A:$A=A497)*(Лист2!$B:$B=B497),0))</f>
        <v>16</v>
      </c>
      <c r="F497" s="30" cm="1">
        <f t="array" ref="F497">INDEX(Лист2!$D:$D,MATCH(1,(Лист2!$A:$A=A497)*(Лист2!$B:$B=B497),0))</f>
        <v>864</v>
      </c>
      <c r="G497" s="5" cm="1">
        <f t="array" ref="G497">INDEX(Лист2!$E:$E,MATCH(1,(Лист2!$A:$A=A497)*(Лист2!$B:$B=B497),0))</f>
        <v>765</v>
      </c>
      <c r="H497" s="9">
        <f t="shared" si="14"/>
        <v>76919.4375</v>
      </c>
      <c r="I497">
        <f t="shared" si="15"/>
        <v>21</v>
      </c>
    </row>
    <row r="498" spans="1:9" ht="14.25" hidden="1" customHeight="1" x14ac:dyDescent="0.3">
      <c r="A498" s="15">
        <v>43965</v>
      </c>
      <c r="B498" s="16" t="s">
        <v>23</v>
      </c>
      <c r="C498" s="17">
        <v>13810.5</v>
      </c>
      <c r="D498" s="18">
        <v>1131676.5</v>
      </c>
      <c r="E498" s="5" cm="1">
        <f t="array" ref="E498">INDEX(Лист2!$C:$C,MATCH(1,(Лист2!$A:$A=A498)*(Лист2!$B:$B=B498),0))</f>
        <v>16</v>
      </c>
      <c r="F498" s="30" cm="1">
        <f t="array" ref="F498">INDEX(Лист2!$D:$D,MATCH(1,(Лист2!$A:$A=A498)*(Лист2!$B:$B=B498),0))</f>
        <v>834</v>
      </c>
      <c r="G498" s="5" cm="1">
        <f t="array" ref="G498">INDEX(Лист2!$E:$E,MATCH(1,(Лист2!$A:$A=A498)*(Лист2!$B:$B=B498),0))</f>
        <v>735</v>
      </c>
      <c r="H498" s="9">
        <f t="shared" si="14"/>
        <v>70729.78125</v>
      </c>
      <c r="I498">
        <f t="shared" si="15"/>
        <v>20</v>
      </c>
    </row>
    <row r="499" spans="1:9" ht="14.25" hidden="1" customHeight="1" x14ac:dyDescent="0.3">
      <c r="A499" s="19">
        <v>43966</v>
      </c>
      <c r="B499" s="20" t="s">
        <v>23</v>
      </c>
      <c r="C499" s="21">
        <v>13752</v>
      </c>
      <c r="D499" s="22">
        <v>1091040</v>
      </c>
      <c r="E499" s="5" cm="1">
        <f t="array" ref="E499">INDEX(Лист2!$C:$C,MATCH(1,(Лист2!$A:$A=A499)*(Лист2!$B:$B=B499),0))</f>
        <v>16</v>
      </c>
      <c r="F499" s="30" cm="1">
        <f t="array" ref="F499">INDEX(Лист2!$D:$D,MATCH(1,(Лист2!$A:$A=A499)*(Лист2!$B:$B=B499),0))</f>
        <v>817</v>
      </c>
      <c r="G499" s="5" cm="1">
        <f t="array" ref="G499">INDEX(Лист2!$E:$E,MATCH(1,(Лист2!$A:$A=A499)*(Лист2!$B:$B=B499),0))</f>
        <v>718</v>
      </c>
      <c r="H499" s="9">
        <f t="shared" si="14"/>
        <v>68190</v>
      </c>
      <c r="I499">
        <f t="shared" si="15"/>
        <v>20</v>
      </c>
    </row>
    <row r="500" spans="1:9" ht="14.25" hidden="1" customHeight="1" x14ac:dyDescent="0.3">
      <c r="A500" s="15">
        <v>43978</v>
      </c>
      <c r="B500" s="16" t="s">
        <v>23</v>
      </c>
      <c r="C500" s="17">
        <v>15276</v>
      </c>
      <c r="D500" s="18">
        <v>1350199.5</v>
      </c>
      <c r="E500" s="5" cm="1">
        <f t="array" ref="E500">INDEX(Лист2!$C:$C,MATCH(1,(Лист2!$A:$A=A500)*(Лист2!$B:$B=B500),0))</f>
        <v>18</v>
      </c>
      <c r="F500" s="30" cm="1">
        <f t="array" ref="F500">INDEX(Лист2!$D:$D,MATCH(1,(Лист2!$A:$A=A500)*(Лист2!$B:$B=B500),0))</f>
        <v>962</v>
      </c>
      <c r="G500" s="5" cm="1">
        <f t="array" ref="G500">INDEX(Лист2!$E:$E,MATCH(1,(Лист2!$A:$A=A500)*(Лист2!$B:$B=B500),0))</f>
        <v>859</v>
      </c>
      <c r="H500" s="9">
        <f t="shared" si="14"/>
        <v>75011.083333333328</v>
      </c>
      <c r="I500">
        <f t="shared" si="15"/>
        <v>22</v>
      </c>
    </row>
    <row r="501" spans="1:9" ht="14.25" hidden="1" customHeight="1" x14ac:dyDescent="0.3">
      <c r="A501" s="19">
        <v>43983</v>
      </c>
      <c r="B501" s="20" t="s">
        <v>26</v>
      </c>
      <c r="C501" s="21">
        <v>4408.5</v>
      </c>
      <c r="D501" s="22">
        <v>410892</v>
      </c>
      <c r="E501" s="5" cm="1">
        <f t="array" ref="E501">INDEX(Лист2!$C:$C,MATCH(1,(Лист2!$A:$A=A501)*(Лист2!$B:$B=B501),0))</f>
        <v>6</v>
      </c>
      <c r="F501" s="30" cm="1">
        <f t="array" ref="F501">INDEX(Лист2!$D:$D,MATCH(1,(Лист2!$A:$A=A501)*(Лист2!$B:$B=B501),0))</f>
        <v>237</v>
      </c>
      <c r="G501" s="5" cm="1">
        <f t="array" ref="G501">INDEX(Лист2!$E:$E,MATCH(1,(Лист2!$A:$A=A501)*(Лист2!$B:$B=B501),0))</f>
        <v>175</v>
      </c>
      <c r="H501" s="9">
        <f t="shared" si="14"/>
        <v>68482</v>
      </c>
      <c r="I501">
        <f t="shared" si="15"/>
        <v>23</v>
      </c>
    </row>
    <row r="502" spans="1:9" ht="14.25" hidden="1" customHeight="1" x14ac:dyDescent="0.3">
      <c r="A502" s="15">
        <v>43980</v>
      </c>
      <c r="B502" s="16" t="s">
        <v>24</v>
      </c>
      <c r="C502" s="17">
        <v>9927</v>
      </c>
      <c r="D502" s="18">
        <v>850840.5</v>
      </c>
      <c r="E502" s="5" cm="1">
        <f t="array" ref="E502">INDEX(Лист2!$C:$C,MATCH(1,(Лист2!$A:$A=A502)*(Лист2!$B:$B=B502),0))</f>
        <v>7</v>
      </c>
      <c r="F502" s="30" cm="1">
        <f t="array" ref="F502">INDEX(Лист2!$D:$D,MATCH(1,(Лист2!$A:$A=A502)*(Лист2!$B:$B=B502),0))</f>
        <v>491</v>
      </c>
      <c r="G502" s="5" cm="1">
        <f t="array" ref="G502">INDEX(Лист2!$E:$E,MATCH(1,(Лист2!$A:$A=A502)*(Лист2!$B:$B=B502),0))</f>
        <v>411</v>
      </c>
      <c r="H502" s="9">
        <f t="shared" si="14"/>
        <v>121548.64285714286</v>
      </c>
      <c r="I502">
        <f t="shared" si="15"/>
        <v>22</v>
      </c>
    </row>
    <row r="503" spans="1:9" ht="14.25" hidden="1" customHeight="1" x14ac:dyDescent="0.3">
      <c r="A503" s="19">
        <v>43983</v>
      </c>
      <c r="B503" s="20" t="s">
        <v>24</v>
      </c>
      <c r="C503" s="21">
        <v>9474</v>
      </c>
      <c r="D503" s="22">
        <v>802447.5</v>
      </c>
      <c r="E503" s="5" cm="1">
        <f t="array" ref="E503">INDEX(Лист2!$C:$C,MATCH(1,(Лист2!$A:$A=A503)*(Лист2!$B:$B=B503),0))</f>
        <v>7</v>
      </c>
      <c r="F503" s="30" cm="1">
        <f t="array" ref="F503">INDEX(Лист2!$D:$D,MATCH(1,(Лист2!$A:$A=A503)*(Лист2!$B:$B=B503),0))</f>
        <v>500</v>
      </c>
      <c r="G503" s="5" cm="1">
        <f t="array" ref="G503">INDEX(Лист2!$E:$E,MATCH(1,(Лист2!$A:$A=A503)*(Лист2!$B:$B=B503),0))</f>
        <v>418</v>
      </c>
      <c r="H503" s="9">
        <f t="shared" si="14"/>
        <v>114635.35714285714</v>
      </c>
      <c r="I503">
        <f t="shared" si="15"/>
        <v>23</v>
      </c>
    </row>
    <row r="504" spans="1:9" ht="14.25" hidden="1" customHeight="1" x14ac:dyDescent="0.3">
      <c r="A504" s="15">
        <v>43980</v>
      </c>
      <c r="B504" s="16" t="s">
        <v>23</v>
      </c>
      <c r="C504" s="17">
        <v>16878</v>
      </c>
      <c r="D504" s="18">
        <v>1438255.5</v>
      </c>
      <c r="E504" s="5" cm="1">
        <f t="array" ref="E504">INDEX(Лист2!$C:$C,MATCH(1,(Лист2!$A:$A=A504)*(Лист2!$B:$B=B504),0))</f>
        <v>18</v>
      </c>
      <c r="F504" s="30" cm="1">
        <f t="array" ref="F504">INDEX(Лист2!$D:$D,MATCH(1,(Лист2!$A:$A=A504)*(Лист2!$B:$B=B504),0))</f>
        <v>1014</v>
      </c>
      <c r="G504" s="5" cm="1">
        <f t="array" ref="G504">INDEX(Лист2!$E:$E,MATCH(1,(Лист2!$A:$A=A504)*(Лист2!$B:$B=B504),0))</f>
        <v>893</v>
      </c>
      <c r="H504" s="9">
        <f t="shared" si="14"/>
        <v>79903.083333333328</v>
      </c>
      <c r="I504">
        <f t="shared" si="15"/>
        <v>22</v>
      </c>
    </row>
    <row r="505" spans="1:9" ht="14.25" hidden="1" customHeight="1" x14ac:dyDescent="0.3">
      <c r="A505" s="23">
        <v>43983</v>
      </c>
      <c r="B505" s="24" t="s">
        <v>23</v>
      </c>
      <c r="C505" s="25">
        <v>14238</v>
      </c>
      <c r="D505" s="26">
        <v>1293219</v>
      </c>
      <c r="E505" s="5" cm="1">
        <f t="array" ref="E505">INDEX(Лист2!$C:$C,MATCH(1,(Лист2!$A:$A=A505)*(Лист2!$B:$B=B505),0))</f>
        <v>18</v>
      </c>
      <c r="F505" s="30" cm="1">
        <f t="array" ref="F505">INDEX(Лист2!$D:$D,MATCH(1,(Лист2!$A:$A=A505)*(Лист2!$B:$B=B505),0))</f>
        <v>923</v>
      </c>
      <c r="G505" s="5" cm="1">
        <f t="array" ref="G505">INDEX(Лист2!$E:$E,MATCH(1,(Лист2!$A:$A=A505)*(Лист2!$B:$B=B505),0))</f>
        <v>824</v>
      </c>
      <c r="H505" s="9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W505" xr:uid="{00000000-0001-0000-0000-000000000000}">
    <filterColumn colId="1">
      <filters>
        <filter val="Санкт-Петербург Север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000"/>
  <sheetViews>
    <sheetView workbookViewId="0">
      <selection activeCell="C481" sqref="C481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hidden="1" customHeight="1" x14ac:dyDescent="0.3">
      <c r="A2" s="6">
        <v>43949</v>
      </c>
      <c r="B2" s="5" t="s">
        <v>16</v>
      </c>
      <c r="C2" s="5">
        <v>36</v>
      </c>
      <c r="D2" s="5">
        <v>4923</v>
      </c>
      <c r="E2" s="5">
        <v>4560</v>
      </c>
    </row>
    <row r="3" spans="1:5" ht="14.25" hidden="1" customHeight="1" x14ac:dyDescent="0.3">
      <c r="A3" s="6">
        <v>43949</v>
      </c>
      <c r="B3" s="5" t="s">
        <v>11</v>
      </c>
      <c r="C3" s="5">
        <v>31</v>
      </c>
      <c r="D3" s="5">
        <v>5465</v>
      </c>
      <c r="E3" s="5">
        <v>5096</v>
      </c>
    </row>
    <row r="4" spans="1:5" ht="14.25" hidden="1" customHeight="1" x14ac:dyDescent="0.3">
      <c r="A4" s="6">
        <v>43949</v>
      </c>
      <c r="B4" s="5" t="s">
        <v>17</v>
      </c>
      <c r="C4" s="5">
        <v>19</v>
      </c>
      <c r="D4" s="5">
        <v>1846</v>
      </c>
      <c r="E4" s="5">
        <v>1681</v>
      </c>
    </row>
    <row r="5" spans="1:5" ht="14.25" hidden="1" customHeight="1" x14ac:dyDescent="0.3">
      <c r="A5" s="6">
        <v>43949</v>
      </c>
      <c r="B5" s="5" t="s">
        <v>10</v>
      </c>
      <c r="C5" s="5">
        <v>18</v>
      </c>
      <c r="D5" s="5">
        <v>1539</v>
      </c>
      <c r="E5" s="5">
        <v>1404</v>
      </c>
    </row>
    <row r="6" spans="1:5" ht="14.25" hidden="1" customHeight="1" x14ac:dyDescent="0.3">
      <c r="A6" s="6">
        <v>43949</v>
      </c>
      <c r="B6" s="5" t="s">
        <v>20</v>
      </c>
      <c r="C6" s="5">
        <v>18</v>
      </c>
      <c r="D6" s="5">
        <v>1505</v>
      </c>
      <c r="E6" s="5">
        <v>1368</v>
      </c>
    </row>
    <row r="7" spans="1:5" ht="14.25" hidden="1" customHeight="1" x14ac:dyDescent="0.3">
      <c r="A7" s="6">
        <v>43949</v>
      </c>
      <c r="B7" s="5" t="s">
        <v>22</v>
      </c>
      <c r="C7" s="5">
        <v>54</v>
      </c>
      <c r="D7" s="5">
        <v>12306</v>
      </c>
      <c r="E7" s="5">
        <v>11532</v>
      </c>
    </row>
    <row r="8" spans="1:5" ht="14.25" hidden="1" customHeight="1" x14ac:dyDescent="0.3">
      <c r="A8" s="6">
        <v>43949</v>
      </c>
      <c r="B8" s="5" t="s">
        <v>21</v>
      </c>
      <c r="C8" s="5">
        <v>59</v>
      </c>
      <c r="D8" s="5">
        <v>12943</v>
      </c>
      <c r="E8" s="5">
        <v>12072</v>
      </c>
    </row>
    <row r="9" spans="1:5" ht="14.25" hidden="1" customHeight="1" x14ac:dyDescent="0.3">
      <c r="A9" s="6">
        <v>43949</v>
      </c>
      <c r="B9" s="5" t="s">
        <v>13</v>
      </c>
      <c r="C9" s="5">
        <v>17</v>
      </c>
      <c r="D9" s="5">
        <v>1439</v>
      </c>
      <c r="E9" s="5">
        <v>1265</v>
      </c>
    </row>
    <row r="10" spans="1:5" ht="14.25" hidden="1" customHeight="1" x14ac:dyDescent="0.3">
      <c r="A10" s="6">
        <v>43949</v>
      </c>
      <c r="B10" s="5" t="s">
        <v>23</v>
      </c>
      <c r="C10" s="5">
        <v>15</v>
      </c>
      <c r="D10" s="5">
        <v>636</v>
      </c>
      <c r="E10" s="5">
        <v>547</v>
      </c>
    </row>
    <row r="11" spans="1:5" ht="14.25" hidden="1" customHeight="1" x14ac:dyDescent="0.3">
      <c r="A11" s="6">
        <v>43949</v>
      </c>
      <c r="B11" s="5" t="s">
        <v>18</v>
      </c>
      <c r="C11" s="5">
        <v>15</v>
      </c>
      <c r="D11" s="5">
        <v>780</v>
      </c>
      <c r="E11" s="5">
        <v>690</v>
      </c>
    </row>
    <row r="12" spans="1:5" ht="14.25" hidden="1" customHeight="1" x14ac:dyDescent="0.3">
      <c r="A12" s="6">
        <v>43949</v>
      </c>
      <c r="B12" s="5" t="s">
        <v>15</v>
      </c>
      <c r="C12" s="5">
        <v>125</v>
      </c>
      <c r="D12" s="5">
        <v>20914</v>
      </c>
      <c r="E12" s="5">
        <v>19479</v>
      </c>
    </row>
    <row r="13" spans="1:5" ht="14.25" hidden="1" customHeight="1" x14ac:dyDescent="0.3">
      <c r="A13" s="6">
        <v>43949</v>
      </c>
      <c r="B13" s="5" t="s">
        <v>14</v>
      </c>
      <c r="C13" s="5">
        <v>128</v>
      </c>
      <c r="D13" s="5">
        <v>16450</v>
      </c>
      <c r="E13" s="5">
        <v>15320</v>
      </c>
    </row>
    <row r="14" spans="1:5" ht="14.25" hidden="1" customHeight="1" x14ac:dyDescent="0.3">
      <c r="A14" s="6">
        <v>43949</v>
      </c>
      <c r="B14" s="5" t="s">
        <v>12</v>
      </c>
      <c r="C14" s="5">
        <v>10</v>
      </c>
      <c r="D14" s="5">
        <v>580</v>
      </c>
      <c r="E14" s="5">
        <v>506</v>
      </c>
    </row>
    <row r="15" spans="1:5" ht="14.25" hidden="1" customHeight="1" x14ac:dyDescent="0.3">
      <c r="A15" s="6">
        <v>43950</v>
      </c>
      <c r="B15" s="5" t="s">
        <v>16</v>
      </c>
      <c r="C15" s="5">
        <v>36</v>
      </c>
      <c r="D15" s="5">
        <v>4937</v>
      </c>
      <c r="E15" s="5">
        <v>4561</v>
      </c>
    </row>
    <row r="16" spans="1:5" ht="14.25" hidden="1" customHeight="1" x14ac:dyDescent="0.3">
      <c r="A16" s="6">
        <v>43950</v>
      </c>
      <c r="B16" s="5" t="s">
        <v>11</v>
      </c>
      <c r="C16" s="5">
        <v>31</v>
      </c>
      <c r="D16" s="5">
        <v>5378</v>
      </c>
      <c r="E16" s="5">
        <v>4985</v>
      </c>
    </row>
    <row r="17" spans="1:5" ht="14.25" hidden="1" customHeight="1" x14ac:dyDescent="0.3">
      <c r="A17" s="6">
        <v>43950</v>
      </c>
      <c r="B17" s="5" t="s">
        <v>17</v>
      </c>
      <c r="C17" s="5">
        <v>19</v>
      </c>
      <c r="D17" s="5">
        <v>1676</v>
      </c>
      <c r="E17" s="5">
        <v>1516</v>
      </c>
    </row>
    <row r="18" spans="1:5" ht="14.25" hidden="1" customHeight="1" x14ac:dyDescent="0.3">
      <c r="A18" s="6">
        <v>43950</v>
      </c>
      <c r="B18" s="5" t="s">
        <v>10</v>
      </c>
      <c r="C18" s="5">
        <v>18</v>
      </c>
      <c r="D18" s="5">
        <v>1684</v>
      </c>
      <c r="E18" s="5">
        <v>1528</v>
      </c>
    </row>
    <row r="19" spans="1:5" ht="14.25" hidden="1" customHeight="1" x14ac:dyDescent="0.3">
      <c r="A19" s="6">
        <v>43950</v>
      </c>
      <c r="B19" s="5" t="s">
        <v>20</v>
      </c>
      <c r="C19" s="5">
        <v>18</v>
      </c>
      <c r="D19" s="5">
        <v>1599</v>
      </c>
      <c r="E19" s="5">
        <v>1450</v>
      </c>
    </row>
    <row r="20" spans="1:5" ht="14.25" hidden="1" customHeight="1" x14ac:dyDescent="0.3">
      <c r="A20" s="6">
        <v>43950</v>
      </c>
      <c r="B20" s="5" t="s">
        <v>22</v>
      </c>
      <c r="C20" s="5">
        <v>54</v>
      </c>
      <c r="D20" s="5">
        <v>12747</v>
      </c>
      <c r="E20" s="5">
        <v>11884</v>
      </c>
    </row>
    <row r="21" spans="1:5" ht="14.25" hidden="1" customHeight="1" x14ac:dyDescent="0.3">
      <c r="A21" s="6">
        <v>43950</v>
      </c>
      <c r="B21" s="5" t="s">
        <v>21</v>
      </c>
      <c r="C21" s="5">
        <v>59</v>
      </c>
      <c r="D21" s="5">
        <v>13186</v>
      </c>
      <c r="E21" s="5">
        <v>12251</v>
      </c>
    </row>
    <row r="22" spans="1:5" ht="14.25" hidden="1" customHeight="1" x14ac:dyDescent="0.3">
      <c r="A22" s="6">
        <v>43950</v>
      </c>
      <c r="B22" s="5" t="s">
        <v>13</v>
      </c>
      <c r="C22" s="5">
        <v>18</v>
      </c>
      <c r="D22" s="5">
        <v>1534</v>
      </c>
      <c r="E22" s="5">
        <v>1369</v>
      </c>
    </row>
    <row r="23" spans="1:5" ht="14.25" hidden="1" customHeight="1" x14ac:dyDescent="0.3">
      <c r="A23" s="6">
        <v>43950</v>
      </c>
      <c r="B23" s="5" t="s">
        <v>23</v>
      </c>
      <c r="C23" s="5">
        <v>15</v>
      </c>
      <c r="D23" s="5">
        <v>659</v>
      </c>
      <c r="E23" s="5">
        <v>575</v>
      </c>
    </row>
    <row r="24" spans="1:5" ht="14.25" hidden="1" customHeight="1" x14ac:dyDescent="0.3">
      <c r="A24" s="6">
        <v>43950</v>
      </c>
      <c r="B24" s="5" t="s">
        <v>18</v>
      </c>
      <c r="C24" s="5">
        <v>15</v>
      </c>
      <c r="D24" s="5">
        <v>786</v>
      </c>
      <c r="E24" s="5">
        <v>695</v>
      </c>
    </row>
    <row r="25" spans="1:5" ht="14.25" hidden="1" customHeight="1" x14ac:dyDescent="0.3">
      <c r="A25" s="6">
        <v>43950</v>
      </c>
      <c r="B25" s="5" t="s">
        <v>15</v>
      </c>
      <c r="C25" s="5">
        <v>125</v>
      </c>
      <c r="D25" s="5">
        <v>21863</v>
      </c>
      <c r="E25" s="5">
        <v>20160</v>
      </c>
    </row>
    <row r="26" spans="1:5" ht="14.25" hidden="1" customHeight="1" x14ac:dyDescent="0.3">
      <c r="A26" s="6">
        <v>43950</v>
      </c>
      <c r="B26" s="5" t="s">
        <v>14</v>
      </c>
      <c r="C26" s="5">
        <v>128</v>
      </c>
      <c r="D26" s="5">
        <v>17368</v>
      </c>
      <c r="E26" s="5">
        <v>16077</v>
      </c>
    </row>
    <row r="27" spans="1:5" ht="14.25" hidden="1" customHeight="1" x14ac:dyDescent="0.3">
      <c r="A27" s="6">
        <v>43950</v>
      </c>
      <c r="B27" s="5" t="s">
        <v>12</v>
      </c>
      <c r="C27" s="5">
        <v>10</v>
      </c>
      <c r="D27" s="5">
        <v>502</v>
      </c>
      <c r="E27" s="5">
        <v>433</v>
      </c>
    </row>
    <row r="28" spans="1:5" ht="14.25" hidden="1" customHeight="1" x14ac:dyDescent="0.3">
      <c r="A28" s="6">
        <v>43951</v>
      </c>
      <c r="B28" s="5" t="s">
        <v>16</v>
      </c>
      <c r="C28" s="5">
        <v>36</v>
      </c>
      <c r="D28" s="5">
        <v>5143</v>
      </c>
      <c r="E28" s="5">
        <v>4715</v>
      </c>
    </row>
    <row r="29" spans="1:5" ht="14.25" hidden="1" customHeight="1" x14ac:dyDescent="0.3">
      <c r="A29" s="6">
        <v>43951</v>
      </c>
      <c r="B29" s="5" t="s">
        <v>11</v>
      </c>
      <c r="C29" s="5">
        <v>31</v>
      </c>
      <c r="D29" s="5">
        <v>5120</v>
      </c>
      <c r="E29" s="5">
        <v>4737</v>
      </c>
    </row>
    <row r="30" spans="1:5" ht="14.25" hidden="1" customHeight="1" x14ac:dyDescent="0.3">
      <c r="A30" s="6">
        <v>43951</v>
      </c>
      <c r="B30" s="5" t="s">
        <v>17</v>
      </c>
      <c r="C30" s="5">
        <v>20</v>
      </c>
      <c r="D30" s="5">
        <v>1756</v>
      </c>
      <c r="E30" s="5">
        <v>1586</v>
      </c>
    </row>
    <row r="31" spans="1:5" ht="14.25" hidden="1" customHeight="1" x14ac:dyDescent="0.3">
      <c r="A31" s="6">
        <v>43951</v>
      </c>
      <c r="B31" s="5" t="s">
        <v>10</v>
      </c>
      <c r="C31" s="5">
        <v>19</v>
      </c>
      <c r="D31" s="5">
        <v>1712</v>
      </c>
      <c r="E31" s="5">
        <v>1552</v>
      </c>
    </row>
    <row r="32" spans="1:5" ht="14.25" hidden="1" customHeight="1" x14ac:dyDescent="0.3">
      <c r="A32" s="6">
        <v>43951</v>
      </c>
      <c r="B32" s="5" t="s">
        <v>20</v>
      </c>
      <c r="C32" s="5">
        <v>19</v>
      </c>
      <c r="D32" s="5">
        <v>1662</v>
      </c>
      <c r="E32" s="5">
        <v>1506</v>
      </c>
    </row>
    <row r="33" spans="1:5" ht="14.25" hidden="1" customHeight="1" x14ac:dyDescent="0.3">
      <c r="A33" s="6">
        <v>43951</v>
      </c>
      <c r="B33" s="5" t="s">
        <v>22</v>
      </c>
      <c r="C33" s="5">
        <v>54</v>
      </c>
      <c r="D33" s="5">
        <v>12817</v>
      </c>
      <c r="E33" s="5">
        <v>11865</v>
      </c>
    </row>
    <row r="34" spans="1:5" ht="14.25" hidden="1" customHeight="1" x14ac:dyDescent="0.3">
      <c r="A34" s="6">
        <v>43951</v>
      </c>
      <c r="B34" s="5" t="s">
        <v>21</v>
      </c>
      <c r="C34" s="5">
        <v>59</v>
      </c>
      <c r="D34" s="5">
        <v>13251</v>
      </c>
      <c r="E34" s="5">
        <v>12255</v>
      </c>
    </row>
    <row r="35" spans="1:5" ht="14.25" hidden="1" customHeight="1" x14ac:dyDescent="0.3">
      <c r="A35" s="6">
        <v>43951</v>
      </c>
      <c r="B35" s="5" t="s">
        <v>13</v>
      </c>
      <c r="C35" s="5">
        <v>19</v>
      </c>
      <c r="D35" s="5">
        <v>1499</v>
      </c>
      <c r="E35" s="5">
        <v>1322</v>
      </c>
    </row>
    <row r="36" spans="1:5" ht="14.25" hidden="1" customHeight="1" x14ac:dyDescent="0.3">
      <c r="A36" s="6">
        <v>43951</v>
      </c>
      <c r="B36" s="5" t="s">
        <v>23</v>
      </c>
      <c r="C36" s="5">
        <v>15</v>
      </c>
      <c r="D36" s="5">
        <v>644</v>
      </c>
      <c r="E36" s="5">
        <v>550</v>
      </c>
    </row>
    <row r="37" spans="1:5" ht="14.25" hidden="1" customHeight="1" x14ac:dyDescent="0.3">
      <c r="A37" s="6">
        <v>43951</v>
      </c>
      <c r="B37" s="5" t="s">
        <v>18</v>
      </c>
      <c r="C37" s="5">
        <v>15</v>
      </c>
      <c r="D37" s="5">
        <v>791</v>
      </c>
      <c r="E37" s="5">
        <v>691</v>
      </c>
    </row>
    <row r="38" spans="1:5" ht="14.25" hidden="1" customHeight="1" x14ac:dyDescent="0.3">
      <c r="A38" s="6">
        <v>43951</v>
      </c>
      <c r="B38" s="5" t="s">
        <v>19</v>
      </c>
      <c r="C38" s="5">
        <v>15</v>
      </c>
      <c r="D38" s="5">
        <v>262</v>
      </c>
      <c r="E38" s="5">
        <v>195</v>
      </c>
    </row>
    <row r="39" spans="1:5" ht="14.25" hidden="1" customHeight="1" x14ac:dyDescent="0.3">
      <c r="A39" s="6">
        <v>43951</v>
      </c>
      <c r="B39" s="5" t="s">
        <v>15</v>
      </c>
      <c r="C39" s="5">
        <v>125</v>
      </c>
      <c r="D39" s="5">
        <v>22368</v>
      </c>
      <c r="E39" s="5">
        <v>20625</v>
      </c>
    </row>
    <row r="40" spans="1:5" ht="14.25" hidden="1" customHeight="1" x14ac:dyDescent="0.3">
      <c r="A40" s="6">
        <v>43951</v>
      </c>
      <c r="B40" s="5" t="s">
        <v>14</v>
      </c>
      <c r="C40" s="5">
        <v>129</v>
      </c>
      <c r="D40" s="5">
        <v>18042</v>
      </c>
      <c r="E40" s="5">
        <v>16631</v>
      </c>
    </row>
    <row r="41" spans="1:5" ht="14.25" hidden="1" customHeight="1" x14ac:dyDescent="0.3">
      <c r="A41" s="6">
        <v>43951</v>
      </c>
      <c r="B41" s="5" t="s">
        <v>12</v>
      </c>
      <c r="C41" s="5">
        <v>10</v>
      </c>
      <c r="D41" s="5">
        <v>448</v>
      </c>
      <c r="E41" s="5">
        <v>376</v>
      </c>
    </row>
    <row r="42" spans="1:5" ht="14.25" hidden="1" customHeight="1" x14ac:dyDescent="0.3">
      <c r="A42" s="6">
        <v>43952</v>
      </c>
      <c r="B42" s="5" t="s">
        <v>16</v>
      </c>
      <c r="C42" s="5">
        <v>36</v>
      </c>
      <c r="D42" s="5">
        <v>5457</v>
      </c>
      <c r="E42" s="5">
        <v>4916</v>
      </c>
    </row>
    <row r="43" spans="1:5" ht="14.25" hidden="1" customHeight="1" x14ac:dyDescent="0.3">
      <c r="A43" s="6">
        <v>43952</v>
      </c>
      <c r="B43" s="5" t="s">
        <v>11</v>
      </c>
      <c r="C43" s="5">
        <v>31</v>
      </c>
      <c r="D43" s="5">
        <v>6118</v>
      </c>
      <c r="E43" s="5">
        <v>5564</v>
      </c>
    </row>
    <row r="44" spans="1:5" ht="14.25" hidden="1" customHeight="1" x14ac:dyDescent="0.3">
      <c r="A44" s="6">
        <v>43952</v>
      </c>
      <c r="B44" s="5" t="s">
        <v>17</v>
      </c>
      <c r="C44" s="5">
        <v>20</v>
      </c>
      <c r="D44" s="5">
        <v>2468</v>
      </c>
      <c r="E44" s="5">
        <v>2221</v>
      </c>
    </row>
    <row r="45" spans="1:5" ht="14.25" hidden="1" customHeight="1" x14ac:dyDescent="0.3">
      <c r="A45" s="6">
        <v>43952</v>
      </c>
      <c r="B45" s="5" t="s">
        <v>10</v>
      </c>
      <c r="C45" s="5">
        <v>18</v>
      </c>
      <c r="D45" s="5">
        <v>1826</v>
      </c>
      <c r="E45" s="5">
        <v>1633</v>
      </c>
    </row>
    <row r="46" spans="1:5" ht="14.25" hidden="1" customHeight="1" x14ac:dyDescent="0.3">
      <c r="A46" s="6">
        <v>43952</v>
      </c>
      <c r="B46" s="5" t="s">
        <v>20</v>
      </c>
      <c r="C46" s="5">
        <v>19</v>
      </c>
      <c r="D46" s="5">
        <v>1987</v>
      </c>
      <c r="E46" s="5">
        <v>1791</v>
      </c>
    </row>
    <row r="47" spans="1:5" ht="14.25" hidden="1" customHeight="1" x14ac:dyDescent="0.3">
      <c r="A47" s="6">
        <v>43952</v>
      </c>
      <c r="B47" s="5" t="s">
        <v>22</v>
      </c>
      <c r="C47" s="5">
        <v>54</v>
      </c>
      <c r="D47" s="5">
        <v>14205</v>
      </c>
      <c r="E47" s="5">
        <v>13026</v>
      </c>
    </row>
    <row r="48" spans="1:5" ht="14.25" hidden="1" customHeight="1" x14ac:dyDescent="0.3">
      <c r="A48" s="6">
        <v>43952</v>
      </c>
      <c r="B48" s="5" t="s">
        <v>21</v>
      </c>
      <c r="C48" s="5">
        <v>59</v>
      </c>
      <c r="D48" s="5">
        <v>15222</v>
      </c>
      <c r="E48" s="5">
        <v>13873</v>
      </c>
    </row>
    <row r="49" spans="1:5" ht="14.25" hidden="1" customHeight="1" x14ac:dyDescent="0.3">
      <c r="A49" s="6">
        <v>43952</v>
      </c>
      <c r="B49" s="5" t="s">
        <v>13</v>
      </c>
      <c r="C49" s="5">
        <v>19</v>
      </c>
      <c r="D49" s="5">
        <v>1497</v>
      </c>
      <c r="E49" s="5">
        <v>1291</v>
      </c>
    </row>
    <row r="50" spans="1:5" ht="14.25" hidden="1" customHeight="1" x14ac:dyDescent="0.3">
      <c r="A50" s="6">
        <v>43952</v>
      </c>
      <c r="B50" s="5" t="s">
        <v>23</v>
      </c>
      <c r="C50" s="5">
        <v>15</v>
      </c>
      <c r="D50" s="5">
        <v>721</v>
      </c>
      <c r="E50" s="5">
        <v>625</v>
      </c>
    </row>
    <row r="51" spans="1:5" ht="14.25" hidden="1" customHeight="1" x14ac:dyDescent="0.3">
      <c r="A51" s="6">
        <v>43952</v>
      </c>
      <c r="B51" s="5" t="s">
        <v>18</v>
      </c>
      <c r="C51" s="5">
        <v>15</v>
      </c>
      <c r="D51" s="5">
        <v>996</v>
      </c>
      <c r="E51" s="5">
        <v>888</v>
      </c>
    </row>
    <row r="52" spans="1:5" ht="14.25" hidden="1" customHeight="1" x14ac:dyDescent="0.3">
      <c r="A52" s="6">
        <v>43952</v>
      </c>
      <c r="B52" s="5" t="s">
        <v>19</v>
      </c>
      <c r="C52" s="5">
        <v>15</v>
      </c>
      <c r="D52" s="5">
        <v>294</v>
      </c>
      <c r="E52" s="5">
        <v>225</v>
      </c>
    </row>
    <row r="53" spans="1:5" ht="14.25" hidden="1" customHeight="1" x14ac:dyDescent="0.3">
      <c r="A53" s="6">
        <v>43952</v>
      </c>
      <c r="B53" s="5" t="s">
        <v>15</v>
      </c>
      <c r="C53" s="5">
        <v>125</v>
      </c>
      <c r="D53" s="5">
        <v>20602</v>
      </c>
      <c r="E53" s="5">
        <v>18845</v>
      </c>
    </row>
    <row r="54" spans="1:5" ht="14.25" hidden="1" customHeight="1" x14ac:dyDescent="0.3">
      <c r="A54" s="6">
        <v>43952</v>
      </c>
      <c r="B54" s="5" t="s">
        <v>14</v>
      </c>
      <c r="C54" s="5">
        <v>129</v>
      </c>
      <c r="D54" s="5">
        <v>17002</v>
      </c>
      <c r="E54" s="5">
        <v>15570</v>
      </c>
    </row>
    <row r="55" spans="1:5" ht="14.25" hidden="1" customHeight="1" x14ac:dyDescent="0.3">
      <c r="A55" s="6">
        <v>43952</v>
      </c>
      <c r="B55" s="5" t="s">
        <v>12</v>
      </c>
      <c r="C55" s="5">
        <v>10</v>
      </c>
      <c r="D55" s="5">
        <v>554</v>
      </c>
      <c r="E55" s="5">
        <v>472</v>
      </c>
    </row>
    <row r="56" spans="1:5" ht="14.25" hidden="1" customHeight="1" x14ac:dyDescent="0.3">
      <c r="A56" s="6">
        <v>43953</v>
      </c>
      <c r="B56" s="5" t="s">
        <v>16</v>
      </c>
      <c r="C56" s="5">
        <v>36</v>
      </c>
      <c r="D56" s="5">
        <v>3442</v>
      </c>
      <c r="E56" s="5">
        <v>3147</v>
      </c>
    </row>
    <row r="57" spans="1:5" ht="14.25" hidden="1" customHeight="1" x14ac:dyDescent="0.3">
      <c r="A57" s="6">
        <v>43953</v>
      </c>
      <c r="B57" s="5" t="s">
        <v>11</v>
      </c>
      <c r="C57" s="5">
        <v>31</v>
      </c>
      <c r="D57" s="5">
        <v>4157</v>
      </c>
      <c r="E57" s="5">
        <v>3823</v>
      </c>
    </row>
    <row r="58" spans="1:5" ht="14.25" hidden="1" customHeight="1" x14ac:dyDescent="0.3">
      <c r="A58" s="6">
        <v>43953</v>
      </c>
      <c r="B58" s="5" t="s">
        <v>17</v>
      </c>
      <c r="C58" s="5">
        <v>20</v>
      </c>
      <c r="D58" s="5">
        <v>1613</v>
      </c>
      <c r="E58" s="5">
        <v>1457</v>
      </c>
    </row>
    <row r="59" spans="1:5" ht="14.25" hidden="1" customHeight="1" x14ac:dyDescent="0.3">
      <c r="A59" s="6">
        <v>43953</v>
      </c>
      <c r="B59" s="5" t="s">
        <v>10</v>
      </c>
      <c r="C59" s="5">
        <v>18</v>
      </c>
      <c r="D59" s="5">
        <v>1708</v>
      </c>
      <c r="E59" s="5">
        <v>1534</v>
      </c>
    </row>
    <row r="60" spans="1:5" ht="14.25" hidden="1" customHeight="1" x14ac:dyDescent="0.3">
      <c r="A60" s="6">
        <v>43953</v>
      </c>
      <c r="B60" s="5" t="s">
        <v>20</v>
      </c>
      <c r="C60" s="5">
        <v>19</v>
      </c>
      <c r="D60" s="5">
        <v>1206</v>
      </c>
      <c r="E60" s="5">
        <v>1080</v>
      </c>
    </row>
    <row r="61" spans="1:5" ht="14.25" hidden="1" customHeight="1" x14ac:dyDescent="0.3">
      <c r="A61" s="6">
        <v>43953</v>
      </c>
      <c r="B61" s="5" t="s">
        <v>22</v>
      </c>
      <c r="C61" s="5">
        <v>54</v>
      </c>
      <c r="D61" s="5">
        <v>11622</v>
      </c>
      <c r="E61" s="5">
        <v>10754</v>
      </c>
    </row>
    <row r="62" spans="1:5" ht="14.25" hidden="1" customHeight="1" x14ac:dyDescent="0.3">
      <c r="A62" s="6">
        <v>43953</v>
      </c>
      <c r="B62" s="5" t="s">
        <v>21</v>
      </c>
      <c r="C62" s="5">
        <v>59</v>
      </c>
      <c r="D62" s="5">
        <v>12429</v>
      </c>
      <c r="E62" s="5">
        <v>11477</v>
      </c>
    </row>
    <row r="63" spans="1:5" ht="14.25" hidden="1" customHeight="1" x14ac:dyDescent="0.3">
      <c r="A63" s="6">
        <v>43953</v>
      </c>
      <c r="B63" s="5" t="s">
        <v>13</v>
      </c>
      <c r="C63" s="5">
        <v>19</v>
      </c>
      <c r="D63" s="5">
        <v>1217</v>
      </c>
      <c r="E63" s="5">
        <v>1048</v>
      </c>
    </row>
    <row r="64" spans="1:5" ht="14.25" hidden="1" customHeight="1" x14ac:dyDescent="0.3">
      <c r="A64" s="6">
        <v>43953</v>
      </c>
      <c r="B64" s="5" t="s">
        <v>23</v>
      </c>
      <c r="C64" s="5">
        <v>15</v>
      </c>
      <c r="D64" s="5">
        <v>567</v>
      </c>
      <c r="E64" s="5">
        <v>493</v>
      </c>
    </row>
    <row r="65" spans="1:5" ht="14.25" hidden="1" customHeight="1" x14ac:dyDescent="0.3">
      <c r="A65" s="6">
        <v>43953</v>
      </c>
      <c r="B65" s="5" t="s">
        <v>18</v>
      </c>
      <c r="C65" s="5">
        <v>15</v>
      </c>
      <c r="D65" s="5">
        <v>751</v>
      </c>
      <c r="E65" s="5">
        <v>651</v>
      </c>
    </row>
    <row r="66" spans="1:5" ht="14.25" hidden="1" customHeight="1" x14ac:dyDescent="0.3">
      <c r="A66" s="6">
        <v>43953</v>
      </c>
      <c r="B66" s="5" t="s">
        <v>19</v>
      </c>
      <c r="C66" s="5">
        <v>15</v>
      </c>
      <c r="D66" s="5">
        <v>274</v>
      </c>
      <c r="E66" s="5">
        <v>203</v>
      </c>
    </row>
    <row r="67" spans="1:5" ht="14.25" hidden="1" customHeight="1" x14ac:dyDescent="0.3">
      <c r="A67" s="6">
        <v>43953</v>
      </c>
      <c r="B67" s="5" t="s">
        <v>15</v>
      </c>
      <c r="C67" s="5">
        <v>125</v>
      </c>
      <c r="D67" s="5">
        <v>16932</v>
      </c>
      <c r="E67" s="5">
        <v>15601</v>
      </c>
    </row>
    <row r="68" spans="1:5" ht="14.25" hidden="1" customHeight="1" x14ac:dyDescent="0.3">
      <c r="A68" s="6">
        <v>43953</v>
      </c>
      <c r="B68" s="5" t="s">
        <v>14</v>
      </c>
      <c r="C68" s="5">
        <v>129</v>
      </c>
      <c r="D68" s="5">
        <v>14009</v>
      </c>
      <c r="E68" s="5">
        <v>12920</v>
      </c>
    </row>
    <row r="69" spans="1:5" ht="14.25" hidden="1" customHeight="1" x14ac:dyDescent="0.3">
      <c r="A69" s="6">
        <v>43953</v>
      </c>
      <c r="B69" s="5" t="s">
        <v>12</v>
      </c>
      <c r="C69" s="5">
        <v>10</v>
      </c>
      <c r="D69" s="5">
        <v>416</v>
      </c>
      <c r="E69" s="5">
        <v>341</v>
      </c>
    </row>
    <row r="70" spans="1:5" ht="14.25" hidden="1" customHeight="1" x14ac:dyDescent="0.3">
      <c r="A70" s="6">
        <v>43954</v>
      </c>
      <c r="B70" s="5" t="s">
        <v>16</v>
      </c>
      <c r="C70" s="5">
        <v>36</v>
      </c>
      <c r="D70" s="5">
        <v>4751</v>
      </c>
      <c r="E70" s="5">
        <v>4370</v>
      </c>
    </row>
    <row r="71" spans="1:5" ht="14.25" hidden="1" customHeight="1" x14ac:dyDescent="0.3">
      <c r="A71" s="6">
        <v>43954</v>
      </c>
      <c r="B71" s="5" t="s">
        <v>11</v>
      </c>
      <c r="C71" s="5">
        <v>31</v>
      </c>
      <c r="D71" s="5">
        <v>5155</v>
      </c>
      <c r="E71" s="5">
        <v>4762</v>
      </c>
    </row>
    <row r="72" spans="1:5" ht="14.25" hidden="1" customHeight="1" x14ac:dyDescent="0.3">
      <c r="A72" s="6">
        <v>43954</v>
      </c>
      <c r="B72" s="5" t="s">
        <v>17</v>
      </c>
      <c r="C72" s="5">
        <v>20</v>
      </c>
      <c r="D72" s="5">
        <v>1716</v>
      </c>
      <c r="E72" s="5">
        <v>1561</v>
      </c>
    </row>
    <row r="73" spans="1:5" ht="14.25" customHeight="1" x14ac:dyDescent="0.3">
      <c r="A73" s="6">
        <v>43954</v>
      </c>
      <c r="B73" s="5" t="s">
        <v>10</v>
      </c>
      <c r="C73" s="5">
        <v>20</v>
      </c>
      <c r="D73" s="5">
        <v>1520</v>
      </c>
      <c r="E73" s="5">
        <v>1373</v>
      </c>
    </row>
    <row r="74" spans="1:5" ht="14.25" hidden="1" customHeight="1" x14ac:dyDescent="0.3">
      <c r="A74" s="6">
        <v>43954</v>
      </c>
      <c r="B74" s="5" t="s">
        <v>20</v>
      </c>
      <c r="C74" s="5">
        <v>19</v>
      </c>
      <c r="D74" s="5">
        <v>1314</v>
      </c>
      <c r="E74" s="5">
        <v>1192</v>
      </c>
    </row>
    <row r="75" spans="1:5" ht="14.25" hidden="1" customHeight="1" x14ac:dyDescent="0.3">
      <c r="A75" s="6">
        <v>43954</v>
      </c>
      <c r="B75" s="5" t="s">
        <v>22</v>
      </c>
      <c r="C75" s="5">
        <v>54</v>
      </c>
      <c r="D75" s="5">
        <v>14823</v>
      </c>
      <c r="E75" s="5">
        <v>13751</v>
      </c>
    </row>
    <row r="76" spans="1:5" ht="14.25" hidden="1" customHeight="1" x14ac:dyDescent="0.3">
      <c r="A76" s="6">
        <v>43954</v>
      </c>
      <c r="B76" s="5" t="s">
        <v>21</v>
      </c>
      <c r="C76" s="5">
        <v>59</v>
      </c>
      <c r="D76" s="5">
        <v>15277</v>
      </c>
      <c r="E76" s="5">
        <v>14163</v>
      </c>
    </row>
    <row r="77" spans="1:5" ht="14.25" hidden="1" customHeight="1" x14ac:dyDescent="0.3">
      <c r="A77" s="6">
        <v>43954</v>
      </c>
      <c r="B77" s="5" t="s">
        <v>13</v>
      </c>
      <c r="C77" s="5">
        <v>19</v>
      </c>
      <c r="D77" s="5">
        <v>1402</v>
      </c>
      <c r="E77" s="5">
        <v>1234</v>
      </c>
    </row>
    <row r="78" spans="1:5" ht="14.25" hidden="1" customHeight="1" x14ac:dyDescent="0.3">
      <c r="A78" s="6">
        <v>43954</v>
      </c>
      <c r="B78" s="5" t="s">
        <v>23</v>
      </c>
      <c r="C78" s="5">
        <v>15</v>
      </c>
      <c r="D78" s="5">
        <v>585</v>
      </c>
      <c r="E78" s="5">
        <v>502</v>
      </c>
    </row>
    <row r="79" spans="1:5" ht="14.25" hidden="1" customHeight="1" x14ac:dyDescent="0.3">
      <c r="A79" s="6">
        <v>43954</v>
      </c>
      <c r="B79" s="5" t="s">
        <v>18</v>
      </c>
      <c r="C79" s="5">
        <v>15</v>
      </c>
      <c r="D79" s="5">
        <v>784</v>
      </c>
      <c r="E79" s="5">
        <v>696</v>
      </c>
    </row>
    <row r="80" spans="1:5" ht="14.25" hidden="1" customHeight="1" x14ac:dyDescent="0.3">
      <c r="A80" s="6">
        <v>43954</v>
      </c>
      <c r="B80" s="5" t="s">
        <v>19</v>
      </c>
      <c r="C80" s="5">
        <v>15</v>
      </c>
      <c r="D80" s="5">
        <v>455</v>
      </c>
      <c r="E80" s="5">
        <v>384</v>
      </c>
    </row>
    <row r="81" spans="1:5" ht="14.25" hidden="1" customHeight="1" x14ac:dyDescent="0.3">
      <c r="A81" s="6">
        <v>43954</v>
      </c>
      <c r="B81" s="5" t="s">
        <v>15</v>
      </c>
      <c r="C81" s="5">
        <v>125</v>
      </c>
      <c r="D81" s="5">
        <v>18861</v>
      </c>
      <c r="E81" s="5">
        <v>17420</v>
      </c>
    </row>
    <row r="82" spans="1:5" ht="14.25" hidden="1" customHeight="1" x14ac:dyDescent="0.3">
      <c r="A82" s="6">
        <v>43954</v>
      </c>
      <c r="B82" s="5" t="s">
        <v>14</v>
      </c>
      <c r="C82" s="5">
        <v>129</v>
      </c>
      <c r="D82" s="5">
        <v>15778</v>
      </c>
      <c r="E82" s="5">
        <v>14624</v>
      </c>
    </row>
    <row r="83" spans="1:5" ht="14.25" hidden="1" customHeight="1" x14ac:dyDescent="0.3">
      <c r="A83" s="6">
        <v>43954</v>
      </c>
      <c r="B83" s="5" t="s">
        <v>12</v>
      </c>
      <c r="C83" s="5">
        <v>10</v>
      </c>
      <c r="D83" s="5">
        <v>402</v>
      </c>
      <c r="E83" s="5">
        <v>333</v>
      </c>
    </row>
    <row r="84" spans="1:5" ht="14.25" hidden="1" customHeight="1" x14ac:dyDescent="0.3">
      <c r="A84" s="6">
        <v>43955</v>
      </c>
      <c r="B84" s="5" t="s">
        <v>16</v>
      </c>
      <c r="C84" s="5">
        <v>36</v>
      </c>
      <c r="D84" s="5">
        <v>4508</v>
      </c>
      <c r="E84" s="5">
        <v>4149</v>
      </c>
    </row>
    <row r="85" spans="1:5" ht="14.25" hidden="1" customHeight="1" x14ac:dyDescent="0.3">
      <c r="A85" s="6">
        <v>43955</v>
      </c>
      <c r="B85" s="5" t="s">
        <v>11</v>
      </c>
      <c r="C85" s="5">
        <v>31</v>
      </c>
      <c r="D85" s="5">
        <v>4968</v>
      </c>
      <c r="E85" s="5">
        <v>4596</v>
      </c>
    </row>
    <row r="86" spans="1:5" ht="14.25" hidden="1" customHeight="1" x14ac:dyDescent="0.3">
      <c r="A86" s="6">
        <v>43955</v>
      </c>
      <c r="B86" s="5" t="s">
        <v>17</v>
      </c>
      <c r="C86" s="5">
        <v>20</v>
      </c>
      <c r="D86" s="5">
        <v>1804</v>
      </c>
      <c r="E86" s="5">
        <v>1638</v>
      </c>
    </row>
    <row r="87" spans="1:5" ht="14.25" hidden="1" customHeight="1" x14ac:dyDescent="0.3">
      <c r="A87" s="6">
        <v>43955</v>
      </c>
      <c r="B87" s="5" t="s">
        <v>10</v>
      </c>
      <c r="C87" s="5">
        <v>20</v>
      </c>
      <c r="D87" s="5">
        <v>1519</v>
      </c>
      <c r="E87" s="5">
        <v>1372</v>
      </c>
    </row>
    <row r="88" spans="1:5" ht="14.25" hidden="1" customHeight="1" x14ac:dyDescent="0.3">
      <c r="A88" s="6">
        <v>43955</v>
      </c>
      <c r="B88" s="5" t="s">
        <v>20</v>
      </c>
      <c r="C88" s="5">
        <v>19</v>
      </c>
      <c r="D88" s="5">
        <v>1479</v>
      </c>
      <c r="E88" s="5">
        <v>1346</v>
      </c>
    </row>
    <row r="89" spans="1:5" ht="14.25" hidden="1" customHeight="1" x14ac:dyDescent="0.3">
      <c r="A89" s="6">
        <v>43955</v>
      </c>
      <c r="B89" s="5" t="s">
        <v>22</v>
      </c>
      <c r="C89" s="5">
        <v>54</v>
      </c>
      <c r="D89" s="5">
        <v>13606</v>
      </c>
      <c r="E89" s="5">
        <v>12697</v>
      </c>
    </row>
    <row r="90" spans="1:5" ht="14.25" hidden="1" customHeight="1" x14ac:dyDescent="0.3">
      <c r="A90" s="6">
        <v>43955</v>
      </c>
      <c r="B90" s="5" t="s">
        <v>21</v>
      </c>
      <c r="C90" s="5">
        <v>59</v>
      </c>
      <c r="D90" s="5">
        <v>14423</v>
      </c>
      <c r="E90" s="5">
        <v>13432</v>
      </c>
    </row>
    <row r="91" spans="1:5" ht="14.25" hidden="1" customHeight="1" x14ac:dyDescent="0.3">
      <c r="A91" s="6">
        <v>43955</v>
      </c>
      <c r="B91" s="5" t="s">
        <v>13</v>
      </c>
      <c r="C91" s="5">
        <v>19</v>
      </c>
      <c r="D91" s="5">
        <v>1582</v>
      </c>
      <c r="E91" s="5">
        <v>1403</v>
      </c>
    </row>
    <row r="92" spans="1:5" ht="14.25" hidden="1" customHeight="1" x14ac:dyDescent="0.3">
      <c r="A92" s="6">
        <v>43955</v>
      </c>
      <c r="B92" s="5" t="s">
        <v>23</v>
      </c>
      <c r="C92" s="5">
        <v>15</v>
      </c>
      <c r="D92" s="5">
        <v>622</v>
      </c>
      <c r="E92" s="5">
        <v>538</v>
      </c>
    </row>
    <row r="93" spans="1:5" ht="14.25" hidden="1" customHeight="1" x14ac:dyDescent="0.3">
      <c r="A93" s="6">
        <v>43955</v>
      </c>
      <c r="B93" s="5" t="s">
        <v>18</v>
      </c>
      <c r="C93" s="5">
        <v>15</v>
      </c>
      <c r="D93" s="5">
        <v>750</v>
      </c>
      <c r="E93" s="5">
        <v>647</v>
      </c>
    </row>
    <row r="94" spans="1:5" ht="14.25" hidden="1" customHeight="1" x14ac:dyDescent="0.3">
      <c r="A94" s="6">
        <v>43955</v>
      </c>
      <c r="B94" s="5" t="s">
        <v>19</v>
      </c>
      <c r="C94" s="5">
        <v>15</v>
      </c>
      <c r="D94" s="5">
        <v>390</v>
      </c>
      <c r="E94" s="5">
        <v>315</v>
      </c>
    </row>
    <row r="95" spans="1:5" ht="14.25" hidden="1" customHeight="1" x14ac:dyDescent="0.3">
      <c r="A95" s="6">
        <v>43955</v>
      </c>
      <c r="B95" s="5" t="s">
        <v>15</v>
      </c>
      <c r="C95" s="5">
        <v>125</v>
      </c>
      <c r="D95" s="5">
        <v>20495</v>
      </c>
      <c r="E95" s="5">
        <v>18964</v>
      </c>
    </row>
    <row r="96" spans="1:5" ht="14.25" hidden="1" customHeight="1" x14ac:dyDescent="0.3">
      <c r="A96" s="6">
        <v>43955</v>
      </c>
      <c r="B96" s="5" t="s">
        <v>14</v>
      </c>
      <c r="C96" s="5">
        <v>129</v>
      </c>
      <c r="D96" s="5">
        <v>16525</v>
      </c>
      <c r="E96" s="5">
        <v>15310</v>
      </c>
    </row>
    <row r="97" spans="1:5" ht="14.25" hidden="1" customHeight="1" x14ac:dyDescent="0.3">
      <c r="A97" s="6">
        <v>43955</v>
      </c>
      <c r="B97" s="5" t="s">
        <v>12</v>
      </c>
      <c r="C97" s="5">
        <v>10</v>
      </c>
      <c r="D97" s="5">
        <v>462</v>
      </c>
      <c r="E97" s="5">
        <v>396</v>
      </c>
    </row>
    <row r="98" spans="1:5" ht="14.25" hidden="1" customHeight="1" x14ac:dyDescent="0.3">
      <c r="A98" s="6">
        <v>43956</v>
      </c>
      <c r="B98" s="5" t="s">
        <v>16</v>
      </c>
      <c r="C98" s="5">
        <v>36</v>
      </c>
      <c r="D98" s="5">
        <v>4575</v>
      </c>
      <c r="E98" s="5">
        <v>4206</v>
      </c>
    </row>
    <row r="99" spans="1:5" ht="14.25" hidden="1" customHeight="1" x14ac:dyDescent="0.3">
      <c r="A99" s="6">
        <v>43956</v>
      </c>
      <c r="B99" s="5" t="s">
        <v>11</v>
      </c>
      <c r="C99" s="5">
        <v>31</v>
      </c>
      <c r="D99" s="5">
        <v>5188</v>
      </c>
      <c r="E99" s="5">
        <v>4800</v>
      </c>
    </row>
    <row r="100" spans="1:5" ht="14.25" hidden="1" customHeight="1" x14ac:dyDescent="0.3">
      <c r="A100" s="6">
        <v>43956</v>
      </c>
      <c r="B100" s="5" t="s">
        <v>17</v>
      </c>
      <c r="C100" s="5">
        <v>20</v>
      </c>
      <c r="D100" s="5">
        <v>1757</v>
      </c>
      <c r="E100" s="5">
        <v>1596</v>
      </c>
    </row>
    <row r="101" spans="1:5" ht="14.25" hidden="1" customHeight="1" x14ac:dyDescent="0.3">
      <c r="A101" s="6">
        <v>43956</v>
      </c>
      <c r="B101" s="5" t="s">
        <v>10</v>
      </c>
      <c r="C101" s="5">
        <v>20</v>
      </c>
      <c r="D101" s="5">
        <v>1773</v>
      </c>
      <c r="E101" s="5">
        <v>1604</v>
      </c>
    </row>
    <row r="102" spans="1:5" ht="14.25" hidden="1" customHeight="1" x14ac:dyDescent="0.3">
      <c r="A102" s="6">
        <v>43956</v>
      </c>
      <c r="B102" s="5" t="s">
        <v>20</v>
      </c>
      <c r="C102" s="5">
        <v>19</v>
      </c>
      <c r="D102" s="5">
        <v>1622</v>
      </c>
      <c r="E102" s="5">
        <v>1482</v>
      </c>
    </row>
    <row r="103" spans="1:5" ht="14.25" hidden="1" customHeight="1" x14ac:dyDescent="0.3">
      <c r="A103" s="6">
        <v>43956</v>
      </c>
      <c r="B103" s="5" t="s">
        <v>22</v>
      </c>
      <c r="C103" s="5">
        <v>54</v>
      </c>
      <c r="D103" s="5">
        <v>12775</v>
      </c>
      <c r="E103" s="5">
        <v>11887</v>
      </c>
    </row>
    <row r="104" spans="1:5" ht="14.25" hidden="1" customHeight="1" x14ac:dyDescent="0.3">
      <c r="A104" s="6">
        <v>43956</v>
      </c>
      <c r="B104" s="5" t="s">
        <v>21</v>
      </c>
      <c r="C104" s="5">
        <v>59</v>
      </c>
      <c r="D104" s="5">
        <v>13469</v>
      </c>
      <c r="E104" s="5">
        <v>12486</v>
      </c>
    </row>
    <row r="105" spans="1:5" ht="14.25" hidden="1" customHeight="1" x14ac:dyDescent="0.3">
      <c r="A105" s="6">
        <v>43956</v>
      </c>
      <c r="B105" s="5" t="s">
        <v>13</v>
      </c>
      <c r="C105" s="5">
        <v>19</v>
      </c>
      <c r="D105" s="5">
        <v>1417</v>
      </c>
      <c r="E105" s="5">
        <v>1245</v>
      </c>
    </row>
    <row r="106" spans="1:5" ht="14.25" hidden="1" customHeight="1" x14ac:dyDescent="0.3">
      <c r="A106" s="6">
        <v>43956</v>
      </c>
      <c r="B106" s="5" t="s">
        <v>23</v>
      </c>
      <c r="C106" s="5">
        <v>15</v>
      </c>
      <c r="D106" s="5">
        <v>750</v>
      </c>
      <c r="E106" s="5">
        <v>658</v>
      </c>
    </row>
    <row r="107" spans="1:5" ht="14.25" hidden="1" customHeight="1" x14ac:dyDescent="0.3">
      <c r="A107" s="6">
        <v>43956</v>
      </c>
      <c r="B107" s="5" t="s">
        <v>18</v>
      </c>
      <c r="C107" s="5">
        <v>15</v>
      </c>
      <c r="D107" s="5">
        <v>922</v>
      </c>
      <c r="E107" s="5">
        <v>823</v>
      </c>
    </row>
    <row r="108" spans="1:5" ht="14.25" hidden="1" customHeight="1" x14ac:dyDescent="0.3">
      <c r="A108" s="6">
        <v>43956</v>
      </c>
      <c r="B108" s="5" t="s">
        <v>19</v>
      </c>
      <c r="C108" s="5">
        <v>15</v>
      </c>
      <c r="D108" s="5">
        <v>455</v>
      </c>
      <c r="E108" s="5">
        <v>381</v>
      </c>
    </row>
    <row r="109" spans="1:5" ht="14.25" hidden="1" customHeight="1" x14ac:dyDescent="0.3">
      <c r="A109" s="6">
        <v>43956</v>
      </c>
      <c r="B109" s="5" t="s">
        <v>15</v>
      </c>
      <c r="C109" s="5">
        <v>125</v>
      </c>
      <c r="D109" s="5">
        <v>18944</v>
      </c>
      <c r="E109" s="5">
        <v>17541</v>
      </c>
    </row>
    <row r="110" spans="1:5" ht="14.25" hidden="1" customHeight="1" x14ac:dyDescent="0.3">
      <c r="A110" s="6">
        <v>43956</v>
      </c>
      <c r="B110" s="5" t="s">
        <v>14</v>
      </c>
      <c r="C110" s="5">
        <v>129</v>
      </c>
      <c r="D110" s="5">
        <v>15665</v>
      </c>
      <c r="E110" s="5">
        <v>14501</v>
      </c>
    </row>
    <row r="111" spans="1:5" ht="14.25" hidden="1" customHeight="1" x14ac:dyDescent="0.3">
      <c r="A111" s="6">
        <v>43956</v>
      </c>
      <c r="B111" s="5" t="s">
        <v>12</v>
      </c>
      <c r="C111" s="5">
        <v>10</v>
      </c>
      <c r="D111" s="5">
        <v>511</v>
      </c>
      <c r="E111" s="5">
        <v>437</v>
      </c>
    </row>
    <row r="112" spans="1:5" ht="14.25" hidden="1" customHeight="1" x14ac:dyDescent="0.3">
      <c r="A112" s="6">
        <v>43957</v>
      </c>
      <c r="B112" s="5" t="s">
        <v>16</v>
      </c>
      <c r="C112" s="5">
        <v>36</v>
      </c>
      <c r="D112" s="5">
        <v>4384</v>
      </c>
      <c r="E112" s="5">
        <v>4025</v>
      </c>
    </row>
    <row r="113" spans="1:5" ht="14.25" hidden="1" customHeight="1" x14ac:dyDescent="0.3">
      <c r="A113" s="6">
        <v>43957</v>
      </c>
      <c r="B113" s="5" t="s">
        <v>11</v>
      </c>
      <c r="C113" s="5">
        <v>31</v>
      </c>
      <c r="D113" s="5">
        <v>4709</v>
      </c>
      <c r="E113" s="5">
        <v>4348</v>
      </c>
    </row>
    <row r="114" spans="1:5" ht="14.25" hidden="1" customHeight="1" x14ac:dyDescent="0.3">
      <c r="A114" s="6">
        <v>43957</v>
      </c>
      <c r="B114" s="5" t="s">
        <v>17</v>
      </c>
      <c r="C114" s="5">
        <v>20</v>
      </c>
      <c r="D114" s="5">
        <v>1747</v>
      </c>
      <c r="E114" s="5">
        <v>1570</v>
      </c>
    </row>
    <row r="115" spans="1:5" ht="14.25" hidden="1" customHeight="1" x14ac:dyDescent="0.3">
      <c r="A115" s="6">
        <v>43957</v>
      </c>
      <c r="B115" s="5" t="s">
        <v>10</v>
      </c>
      <c r="C115" s="5">
        <v>20</v>
      </c>
      <c r="D115" s="5">
        <v>1784</v>
      </c>
      <c r="E115" s="5">
        <v>1632</v>
      </c>
    </row>
    <row r="116" spans="1:5" ht="14.25" hidden="1" customHeight="1" x14ac:dyDescent="0.3">
      <c r="A116" s="6">
        <v>43957</v>
      </c>
      <c r="B116" s="5" t="s">
        <v>20</v>
      </c>
      <c r="C116" s="5">
        <v>19</v>
      </c>
      <c r="D116" s="5">
        <v>1509</v>
      </c>
      <c r="E116" s="5">
        <v>1374</v>
      </c>
    </row>
    <row r="117" spans="1:5" ht="14.25" hidden="1" customHeight="1" x14ac:dyDescent="0.3">
      <c r="A117" s="6">
        <v>43957</v>
      </c>
      <c r="B117" s="5" t="s">
        <v>22</v>
      </c>
      <c r="C117" s="5">
        <v>54</v>
      </c>
      <c r="D117" s="5">
        <v>13406</v>
      </c>
      <c r="E117" s="5">
        <v>12518</v>
      </c>
    </row>
    <row r="118" spans="1:5" ht="14.25" hidden="1" customHeight="1" x14ac:dyDescent="0.3">
      <c r="A118" s="6">
        <v>43957</v>
      </c>
      <c r="B118" s="5" t="s">
        <v>21</v>
      </c>
      <c r="C118" s="5">
        <v>59</v>
      </c>
      <c r="D118" s="5">
        <v>14103</v>
      </c>
      <c r="E118" s="5">
        <v>13118</v>
      </c>
    </row>
    <row r="119" spans="1:5" ht="14.25" hidden="1" customHeight="1" x14ac:dyDescent="0.3">
      <c r="A119" s="6">
        <v>43957</v>
      </c>
      <c r="B119" s="5" t="s">
        <v>13</v>
      </c>
      <c r="C119" s="5">
        <v>19</v>
      </c>
      <c r="D119" s="5">
        <v>1499</v>
      </c>
      <c r="E119" s="5">
        <v>1323</v>
      </c>
    </row>
    <row r="120" spans="1:5" ht="14.25" hidden="1" customHeight="1" x14ac:dyDescent="0.3">
      <c r="A120" s="6">
        <v>43957</v>
      </c>
      <c r="B120" s="5" t="s">
        <v>23</v>
      </c>
      <c r="C120" s="5">
        <v>15</v>
      </c>
      <c r="D120" s="5">
        <v>701</v>
      </c>
      <c r="E120" s="5">
        <v>611</v>
      </c>
    </row>
    <row r="121" spans="1:5" ht="14.25" hidden="1" customHeight="1" x14ac:dyDescent="0.3">
      <c r="A121" s="6">
        <v>43957</v>
      </c>
      <c r="B121" s="5" t="s">
        <v>18</v>
      </c>
      <c r="C121" s="5">
        <v>15</v>
      </c>
      <c r="D121" s="5">
        <v>839</v>
      </c>
      <c r="E121" s="5">
        <v>733</v>
      </c>
    </row>
    <row r="122" spans="1:5" ht="14.25" hidden="1" customHeight="1" x14ac:dyDescent="0.3">
      <c r="A122" s="6">
        <v>43957</v>
      </c>
      <c r="B122" s="5" t="s">
        <v>19</v>
      </c>
      <c r="C122" s="5">
        <v>15</v>
      </c>
      <c r="D122" s="5">
        <v>467</v>
      </c>
      <c r="E122" s="5">
        <v>389</v>
      </c>
    </row>
    <row r="123" spans="1:5" ht="14.25" hidden="1" customHeight="1" x14ac:dyDescent="0.3">
      <c r="A123" s="6">
        <v>43957</v>
      </c>
      <c r="B123" s="5" t="s">
        <v>15</v>
      </c>
      <c r="C123" s="5">
        <v>125</v>
      </c>
      <c r="D123" s="5">
        <v>20218</v>
      </c>
      <c r="E123" s="5">
        <v>18647</v>
      </c>
    </row>
    <row r="124" spans="1:5" ht="14.25" hidden="1" customHeight="1" x14ac:dyDescent="0.3">
      <c r="A124" s="6">
        <v>43957</v>
      </c>
      <c r="B124" s="5" t="s">
        <v>14</v>
      </c>
      <c r="C124" s="5">
        <v>129</v>
      </c>
      <c r="D124" s="5">
        <v>16376</v>
      </c>
      <c r="E124" s="5">
        <v>15197</v>
      </c>
    </row>
    <row r="125" spans="1:5" ht="14.25" hidden="1" customHeight="1" x14ac:dyDescent="0.3">
      <c r="A125" s="6">
        <v>43957</v>
      </c>
      <c r="B125" s="5" t="s">
        <v>12</v>
      </c>
      <c r="C125" s="5">
        <v>10</v>
      </c>
      <c r="D125" s="5">
        <v>465</v>
      </c>
      <c r="E125" s="5">
        <v>390</v>
      </c>
    </row>
    <row r="126" spans="1:5" ht="14.25" hidden="1" customHeight="1" x14ac:dyDescent="0.3">
      <c r="A126" s="6">
        <v>43958</v>
      </c>
      <c r="B126" s="5" t="s">
        <v>16</v>
      </c>
      <c r="C126" s="5">
        <v>36</v>
      </c>
      <c r="D126" s="5">
        <v>4826</v>
      </c>
      <c r="E126" s="5">
        <v>4426</v>
      </c>
    </row>
    <row r="127" spans="1:5" ht="14.25" hidden="1" customHeight="1" x14ac:dyDescent="0.3">
      <c r="A127" s="6">
        <v>43958</v>
      </c>
      <c r="B127" s="5" t="s">
        <v>11</v>
      </c>
      <c r="C127" s="5">
        <v>31</v>
      </c>
      <c r="D127" s="5">
        <v>4903</v>
      </c>
      <c r="E127" s="5">
        <v>4527</v>
      </c>
    </row>
    <row r="128" spans="1:5" ht="14.25" hidden="1" customHeight="1" x14ac:dyDescent="0.3">
      <c r="A128" s="6">
        <v>43958</v>
      </c>
      <c r="B128" s="5" t="s">
        <v>17</v>
      </c>
      <c r="C128" s="5">
        <v>21</v>
      </c>
      <c r="D128" s="5">
        <v>1879</v>
      </c>
      <c r="E128" s="5">
        <v>1695</v>
      </c>
    </row>
    <row r="129" spans="1:5" ht="14.25" hidden="1" customHeight="1" x14ac:dyDescent="0.3">
      <c r="A129" s="6">
        <v>43958</v>
      </c>
      <c r="B129" s="5" t="s">
        <v>10</v>
      </c>
      <c r="C129" s="5">
        <v>21</v>
      </c>
      <c r="D129" s="5">
        <v>1542</v>
      </c>
      <c r="E129" s="5">
        <v>1405</v>
      </c>
    </row>
    <row r="130" spans="1:5" ht="14.25" hidden="1" customHeight="1" x14ac:dyDescent="0.3">
      <c r="A130" s="6">
        <v>43958</v>
      </c>
      <c r="B130" s="5" t="s">
        <v>20</v>
      </c>
      <c r="C130" s="5">
        <v>19</v>
      </c>
      <c r="D130" s="5">
        <v>1580</v>
      </c>
      <c r="E130" s="5">
        <v>1435</v>
      </c>
    </row>
    <row r="131" spans="1:5" ht="14.25" hidden="1" customHeight="1" x14ac:dyDescent="0.3">
      <c r="A131" s="6">
        <v>43958</v>
      </c>
      <c r="B131" s="5" t="s">
        <v>22</v>
      </c>
      <c r="C131" s="5">
        <v>54</v>
      </c>
      <c r="D131" s="5">
        <v>12743</v>
      </c>
      <c r="E131" s="5">
        <v>11858</v>
      </c>
    </row>
    <row r="132" spans="1:5" ht="14.25" hidden="1" customHeight="1" x14ac:dyDescent="0.3">
      <c r="A132" s="6">
        <v>43958</v>
      </c>
      <c r="B132" s="5" t="s">
        <v>21</v>
      </c>
      <c r="C132" s="5">
        <v>59</v>
      </c>
      <c r="D132" s="5">
        <v>13495</v>
      </c>
      <c r="E132" s="5">
        <v>12517</v>
      </c>
    </row>
    <row r="133" spans="1:5" ht="14.25" hidden="1" customHeight="1" x14ac:dyDescent="0.3">
      <c r="A133" s="6">
        <v>43958</v>
      </c>
      <c r="B133" s="5" t="s">
        <v>13</v>
      </c>
      <c r="C133" s="5">
        <v>19</v>
      </c>
      <c r="D133" s="5">
        <v>1530</v>
      </c>
      <c r="E133" s="5">
        <v>1338</v>
      </c>
    </row>
    <row r="134" spans="1:5" ht="14.25" hidden="1" customHeight="1" x14ac:dyDescent="0.3">
      <c r="A134" s="6">
        <v>43958</v>
      </c>
      <c r="B134" s="5" t="s">
        <v>23</v>
      </c>
      <c r="C134" s="5">
        <v>15</v>
      </c>
      <c r="D134" s="5">
        <v>676</v>
      </c>
      <c r="E134" s="5">
        <v>591</v>
      </c>
    </row>
    <row r="135" spans="1:5" ht="14.25" hidden="1" customHeight="1" x14ac:dyDescent="0.3">
      <c r="A135" s="6">
        <v>43958</v>
      </c>
      <c r="B135" s="5" t="s">
        <v>18</v>
      </c>
      <c r="C135" s="5">
        <v>15</v>
      </c>
      <c r="D135" s="5">
        <v>805</v>
      </c>
      <c r="E135" s="5">
        <v>703</v>
      </c>
    </row>
    <row r="136" spans="1:5" ht="14.25" hidden="1" customHeight="1" x14ac:dyDescent="0.3">
      <c r="A136" s="6">
        <v>43958</v>
      </c>
      <c r="B136" s="5" t="s">
        <v>19</v>
      </c>
      <c r="C136" s="5">
        <v>15</v>
      </c>
      <c r="D136" s="5">
        <v>480</v>
      </c>
      <c r="E136" s="5">
        <v>398</v>
      </c>
    </row>
    <row r="137" spans="1:5" ht="14.25" hidden="1" customHeight="1" x14ac:dyDescent="0.3">
      <c r="A137" s="6">
        <v>43958</v>
      </c>
      <c r="B137" s="5" t="s">
        <v>15</v>
      </c>
      <c r="C137" s="5">
        <v>125</v>
      </c>
      <c r="D137" s="5">
        <v>18014</v>
      </c>
      <c r="E137" s="5">
        <v>16675</v>
      </c>
    </row>
    <row r="138" spans="1:5" ht="14.25" hidden="1" customHeight="1" x14ac:dyDescent="0.3">
      <c r="A138" s="6">
        <v>43958</v>
      </c>
      <c r="B138" s="5" t="s">
        <v>14</v>
      </c>
      <c r="C138" s="5">
        <v>129</v>
      </c>
      <c r="D138" s="5">
        <v>14582</v>
      </c>
      <c r="E138" s="5">
        <v>13512</v>
      </c>
    </row>
    <row r="139" spans="1:5" ht="14.25" hidden="1" customHeight="1" x14ac:dyDescent="0.3">
      <c r="A139" s="6">
        <v>43958</v>
      </c>
      <c r="B139" s="5" t="s">
        <v>12</v>
      </c>
      <c r="C139" s="5">
        <v>10</v>
      </c>
      <c r="D139" s="5">
        <v>563</v>
      </c>
      <c r="E139" s="5">
        <v>486</v>
      </c>
    </row>
    <row r="140" spans="1:5" ht="14.25" hidden="1" customHeight="1" x14ac:dyDescent="0.3">
      <c r="A140" s="6">
        <v>43959</v>
      </c>
      <c r="B140" s="5" t="s">
        <v>16</v>
      </c>
      <c r="C140" s="5">
        <v>36</v>
      </c>
      <c r="D140" s="5">
        <v>4199</v>
      </c>
      <c r="E140" s="5">
        <v>3867</v>
      </c>
    </row>
    <row r="141" spans="1:5" ht="14.25" hidden="1" customHeight="1" x14ac:dyDescent="0.3">
      <c r="A141" s="6">
        <v>43959</v>
      </c>
      <c r="B141" s="5" t="s">
        <v>11</v>
      </c>
      <c r="C141" s="5">
        <v>31</v>
      </c>
      <c r="D141" s="5">
        <v>4635</v>
      </c>
      <c r="E141" s="5">
        <v>4266</v>
      </c>
    </row>
    <row r="142" spans="1:5" ht="14.25" hidden="1" customHeight="1" x14ac:dyDescent="0.3">
      <c r="A142" s="6">
        <v>43959</v>
      </c>
      <c r="B142" s="5" t="s">
        <v>17</v>
      </c>
      <c r="C142" s="5">
        <v>21</v>
      </c>
      <c r="D142" s="5">
        <v>1957</v>
      </c>
      <c r="E142" s="5">
        <v>1755</v>
      </c>
    </row>
    <row r="143" spans="1:5" ht="14.25" hidden="1" customHeight="1" x14ac:dyDescent="0.3">
      <c r="A143" s="6">
        <v>43959</v>
      </c>
      <c r="B143" s="5" t="s">
        <v>10</v>
      </c>
      <c r="C143" s="5">
        <v>21</v>
      </c>
      <c r="D143" s="5">
        <v>1646</v>
      </c>
      <c r="E143" s="5">
        <v>1492</v>
      </c>
    </row>
    <row r="144" spans="1:5" ht="14.25" hidden="1" customHeight="1" x14ac:dyDescent="0.3">
      <c r="A144" s="6">
        <v>43959</v>
      </c>
      <c r="B144" s="5" t="s">
        <v>20</v>
      </c>
      <c r="C144" s="5">
        <v>19</v>
      </c>
      <c r="D144" s="5">
        <v>1520</v>
      </c>
      <c r="E144" s="5">
        <v>1380</v>
      </c>
    </row>
    <row r="145" spans="1:5" ht="14.25" hidden="1" customHeight="1" x14ac:dyDescent="0.3">
      <c r="A145" s="6">
        <v>43959</v>
      </c>
      <c r="B145" s="5" t="s">
        <v>22</v>
      </c>
      <c r="C145" s="5">
        <v>54</v>
      </c>
      <c r="D145" s="5">
        <v>13563</v>
      </c>
      <c r="E145" s="5">
        <v>12604</v>
      </c>
    </row>
    <row r="146" spans="1:5" ht="14.25" hidden="1" customHeight="1" x14ac:dyDescent="0.3">
      <c r="A146" s="6">
        <v>43959</v>
      </c>
      <c r="B146" s="5" t="s">
        <v>21</v>
      </c>
      <c r="C146" s="5">
        <v>59</v>
      </c>
      <c r="D146" s="5">
        <v>14098</v>
      </c>
      <c r="E146" s="5">
        <v>13106</v>
      </c>
    </row>
    <row r="147" spans="1:5" ht="14.25" hidden="1" customHeight="1" x14ac:dyDescent="0.3">
      <c r="A147" s="6">
        <v>43959</v>
      </c>
      <c r="B147" s="5" t="s">
        <v>13</v>
      </c>
      <c r="C147" s="5">
        <v>19</v>
      </c>
      <c r="D147" s="5">
        <v>1522</v>
      </c>
      <c r="E147" s="5">
        <v>1340</v>
      </c>
    </row>
    <row r="148" spans="1:5" ht="14.25" hidden="1" customHeight="1" x14ac:dyDescent="0.3">
      <c r="A148" s="6">
        <v>43959</v>
      </c>
      <c r="B148" s="5" t="s">
        <v>23</v>
      </c>
      <c r="C148" s="5">
        <v>15</v>
      </c>
      <c r="D148" s="5">
        <v>703</v>
      </c>
      <c r="E148" s="5">
        <v>609</v>
      </c>
    </row>
    <row r="149" spans="1:5" ht="14.25" hidden="1" customHeight="1" x14ac:dyDescent="0.3">
      <c r="A149" s="6">
        <v>43959</v>
      </c>
      <c r="B149" s="5" t="s">
        <v>18</v>
      </c>
      <c r="C149" s="5">
        <v>15</v>
      </c>
      <c r="D149" s="5">
        <v>879</v>
      </c>
      <c r="E149" s="5">
        <v>768</v>
      </c>
    </row>
    <row r="150" spans="1:5" ht="14.25" hidden="1" customHeight="1" x14ac:dyDescent="0.3">
      <c r="A150" s="6">
        <v>43959</v>
      </c>
      <c r="B150" s="5" t="s">
        <v>19</v>
      </c>
      <c r="C150" s="5">
        <v>15</v>
      </c>
      <c r="D150" s="5">
        <v>492</v>
      </c>
      <c r="E150" s="5">
        <v>412</v>
      </c>
    </row>
    <row r="151" spans="1:5" ht="14.25" hidden="1" customHeight="1" x14ac:dyDescent="0.3">
      <c r="A151" s="6">
        <v>43959</v>
      </c>
      <c r="B151" s="5" t="s">
        <v>15</v>
      </c>
      <c r="C151" s="5">
        <v>125</v>
      </c>
      <c r="D151" s="5">
        <v>24620</v>
      </c>
      <c r="E151" s="5">
        <v>22641</v>
      </c>
    </row>
    <row r="152" spans="1:5" ht="14.25" hidden="1" customHeight="1" x14ac:dyDescent="0.3">
      <c r="A152" s="6">
        <v>43959</v>
      </c>
      <c r="B152" s="5" t="s">
        <v>14</v>
      </c>
      <c r="C152" s="5">
        <v>129</v>
      </c>
      <c r="D152" s="5">
        <v>20452</v>
      </c>
      <c r="E152" s="5">
        <v>18857</v>
      </c>
    </row>
    <row r="153" spans="1:5" ht="14.25" hidden="1" customHeight="1" x14ac:dyDescent="0.3">
      <c r="A153" s="6">
        <v>43959</v>
      </c>
      <c r="B153" s="5" t="s">
        <v>12</v>
      </c>
      <c r="C153" s="5">
        <v>10</v>
      </c>
      <c r="D153" s="5">
        <v>638</v>
      </c>
      <c r="E153" s="5">
        <v>547</v>
      </c>
    </row>
    <row r="154" spans="1:5" ht="14.25" hidden="1" customHeight="1" x14ac:dyDescent="0.3">
      <c r="A154" s="6">
        <v>43960</v>
      </c>
      <c r="B154" s="5" t="s">
        <v>16</v>
      </c>
      <c r="C154" s="5">
        <v>36</v>
      </c>
      <c r="D154" s="5">
        <v>5413</v>
      </c>
      <c r="E154" s="5">
        <v>4959</v>
      </c>
    </row>
    <row r="155" spans="1:5" ht="14.25" hidden="1" customHeight="1" x14ac:dyDescent="0.3">
      <c r="A155" s="6">
        <v>43960</v>
      </c>
      <c r="B155" s="5" t="s">
        <v>11</v>
      </c>
      <c r="C155" s="5">
        <v>31</v>
      </c>
      <c r="D155" s="5">
        <v>4556</v>
      </c>
      <c r="E155" s="5">
        <v>4220</v>
      </c>
    </row>
    <row r="156" spans="1:5" ht="14.25" hidden="1" customHeight="1" x14ac:dyDescent="0.3">
      <c r="A156" s="6">
        <v>43960</v>
      </c>
      <c r="B156" s="5" t="s">
        <v>17</v>
      </c>
      <c r="C156" s="5">
        <v>21</v>
      </c>
      <c r="D156" s="5">
        <v>1891</v>
      </c>
      <c r="E156" s="5">
        <v>1709</v>
      </c>
    </row>
    <row r="157" spans="1:5" ht="14.25" hidden="1" customHeight="1" x14ac:dyDescent="0.3">
      <c r="A157" s="6">
        <v>43960</v>
      </c>
      <c r="B157" s="5" t="s">
        <v>10</v>
      </c>
      <c r="C157" s="5">
        <v>21</v>
      </c>
      <c r="D157" s="5">
        <v>1735</v>
      </c>
      <c r="E157" s="5">
        <v>1568</v>
      </c>
    </row>
    <row r="158" spans="1:5" ht="14.25" hidden="1" customHeight="1" x14ac:dyDescent="0.3">
      <c r="A158" s="6">
        <v>43960</v>
      </c>
      <c r="B158" s="5" t="s">
        <v>20</v>
      </c>
      <c r="C158" s="5">
        <v>19</v>
      </c>
      <c r="D158" s="5">
        <v>1542</v>
      </c>
      <c r="E158" s="5">
        <v>1412</v>
      </c>
    </row>
    <row r="159" spans="1:5" ht="14.25" hidden="1" customHeight="1" x14ac:dyDescent="0.3">
      <c r="A159" s="6">
        <v>43960</v>
      </c>
      <c r="B159" s="5" t="s">
        <v>22</v>
      </c>
      <c r="C159" s="5">
        <v>54</v>
      </c>
      <c r="D159" s="5">
        <v>11288</v>
      </c>
      <c r="E159" s="5">
        <v>10492</v>
      </c>
    </row>
    <row r="160" spans="1:5" ht="14.25" hidden="1" customHeight="1" x14ac:dyDescent="0.3">
      <c r="A160" s="6">
        <v>43960</v>
      </c>
      <c r="B160" s="5" t="s">
        <v>21</v>
      </c>
      <c r="C160" s="5">
        <v>59</v>
      </c>
      <c r="D160" s="5">
        <v>12016</v>
      </c>
      <c r="E160" s="5">
        <v>11137</v>
      </c>
    </row>
    <row r="161" spans="1:5" ht="14.25" hidden="1" customHeight="1" x14ac:dyDescent="0.3">
      <c r="A161" s="6">
        <v>43960</v>
      </c>
      <c r="B161" s="5" t="s">
        <v>13</v>
      </c>
      <c r="C161" s="5">
        <v>19</v>
      </c>
      <c r="D161" s="5">
        <v>1851</v>
      </c>
      <c r="E161" s="5">
        <v>1635</v>
      </c>
    </row>
    <row r="162" spans="1:5" ht="14.25" hidden="1" customHeight="1" x14ac:dyDescent="0.3">
      <c r="A162" s="6">
        <v>43960</v>
      </c>
      <c r="B162" s="5" t="s">
        <v>23</v>
      </c>
      <c r="C162" s="5">
        <v>15</v>
      </c>
      <c r="D162" s="5">
        <v>654</v>
      </c>
      <c r="E162" s="5">
        <v>570</v>
      </c>
    </row>
    <row r="163" spans="1:5" ht="14.25" hidden="1" customHeight="1" x14ac:dyDescent="0.3">
      <c r="A163" s="6">
        <v>43960</v>
      </c>
      <c r="B163" s="5" t="s">
        <v>18</v>
      </c>
      <c r="C163" s="5">
        <v>15</v>
      </c>
      <c r="D163" s="5">
        <v>849</v>
      </c>
      <c r="E163" s="5">
        <v>740</v>
      </c>
    </row>
    <row r="164" spans="1:5" ht="14.25" hidden="1" customHeight="1" x14ac:dyDescent="0.3">
      <c r="A164" s="6">
        <v>43960</v>
      </c>
      <c r="B164" s="5" t="s">
        <v>19</v>
      </c>
      <c r="C164" s="5">
        <v>15</v>
      </c>
      <c r="D164" s="5">
        <v>623</v>
      </c>
      <c r="E164" s="5">
        <v>535</v>
      </c>
    </row>
    <row r="165" spans="1:5" ht="14.25" hidden="1" customHeight="1" x14ac:dyDescent="0.3">
      <c r="A165" s="6">
        <v>43960</v>
      </c>
      <c r="B165" s="5" t="s">
        <v>15</v>
      </c>
      <c r="C165" s="5">
        <v>125</v>
      </c>
      <c r="D165" s="5">
        <v>20132</v>
      </c>
      <c r="E165" s="5">
        <v>18617</v>
      </c>
    </row>
    <row r="166" spans="1:5" ht="14.25" hidden="1" customHeight="1" x14ac:dyDescent="0.3">
      <c r="A166" s="6">
        <v>43960</v>
      </c>
      <c r="B166" s="5" t="s">
        <v>14</v>
      </c>
      <c r="C166" s="5">
        <v>129</v>
      </c>
      <c r="D166" s="5">
        <v>16420</v>
      </c>
      <c r="E166" s="5">
        <v>15169</v>
      </c>
    </row>
    <row r="167" spans="1:5" ht="14.25" hidden="1" customHeight="1" x14ac:dyDescent="0.3">
      <c r="A167" s="6">
        <v>43960</v>
      </c>
      <c r="B167" s="5" t="s">
        <v>12</v>
      </c>
      <c r="C167" s="5">
        <v>10</v>
      </c>
      <c r="D167" s="5">
        <v>644</v>
      </c>
      <c r="E167" s="5">
        <v>559</v>
      </c>
    </row>
    <row r="168" spans="1:5" ht="14.25" hidden="1" customHeight="1" x14ac:dyDescent="0.3">
      <c r="A168" s="6">
        <v>43961</v>
      </c>
      <c r="B168" s="5" t="s">
        <v>16</v>
      </c>
      <c r="C168" s="5">
        <v>36</v>
      </c>
      <c r="D168" s="5">
        <v>5746</v>
      </c>
      <c r="E168" s="5">
        <v>5277</v>
      </c>
    </row>
    <row r="169" spans="1:5" ht="14.25" hidden="1" customHeight="1" x14ac:dyDescent="0.3">
      <c r="A169" s="6">
        <v>43961</v>
      </c>
      <c r="B169" s="5" t="s">
        <v>11</v>
      </c>
      <c r="C169" s="5">
        <v>31</v>
      </c>
      <c r="D169" s="5">
        <v>5495</v>
      </c>
      <c r="E169" s="5">
        <v>5093</v>
      </c>
    </row>
    <row r="170" spans="1:5" ht="14.25" hidden="1" customHeight="1" x14ac:dyDescent="0.3">
      <c r="A170" s="6">
        <v>43961</v>
      </c>
      <c r="B170" s="5" t="s">
        <v>17</v>
      </c>
      <c r="C170" s="5">
        <v>21</v>
      </c>
      <c r="D170" s="5">
        <v>2120</v>
      </c>
      <c r="E170" s="5">
        <v>1921</v>
      </c>
    </row>
    <row r="171" spans="1:5" ht="14.25" hidden="1" customHeight="1" x14ac:dyDescent="0.3">
      <c r="A171" s="6">
        <v>43961</v>
      </c>
      <c r="B171" s="5" t="s">
        <v>10</v>
      </c>
      <c r="C171" s="5">
        <v>21</v>
      </c>
      <c r="D171" s="5">
        <v>2016</v>
      </c>
      <c r="E171" s="5">
        <v>1846</v>
      </c>
    </row>
    <row r="172" spans="1:5" ht="14.25" hidden="1" customHeight="1" x14ac:dyDescent="0.3">
      <c r="A172" s="6">
        <v>43961</v>
      </c>
      <c r="B172" s="5" t="s">
        <v>20</v>
      </c>
      <c r="C172" s="5">
        <v>19</v>
      </c>
      <c r="D172" s="5">
        <v>1836</v>
      </c>
      <c r="E172" s="5">
        <v>1680</v>
      </c>
    </row>
    <row r="173" spans="1:5" ht="14.25" hidden="1" customHeight="1" x14ac:dyDescent="0.3">
      <c r="A173" s="6">
        <v>43961</v>
      </c>
      <c r="B173" s="5" t="s">
        <v>22</v>
      </c>
      <c r="C173" s="5">
        <v>54</v>
      </c>
      <c r="D173" s="5">
        <v>13832</v>
      </c>
      <c r="E173" s="5">
        <v>12864</v>
      </c>
    </row>
    <row r="174" spans="1:5" ht="14.25" hidden="1" customHeight="1" x14ac:dyDescent="0.3">
      <c r="A174" s="6">
        <v>43961</v>
      </c>
      <c r="B174" s="5" t="s">
        <v>21</v>
      </c>
      <c r="C174" s="5">
        <v>59</v>
      </c>
      <c r="D174" s="5">
        <v>14569</v>
      </c>
      <c r="E174" s="5">
        <v>13566</v>
      </c>
    </row>
    <row r="175" spans="1:5" ht="14.25" hidden="1" customHeight="1" x14ac:dyDescent="0.3">
      <c r="A175" s="6">
        <v>43961</v>
      </c>
      <c r="B175" s="5" t="s">
        <v>13</v>
      </c>
      <c r="C175" s="5">
        <v>19</v>
      </c>
      <c r="D175" s="5">
        <v>1848</v>
      </c>
      <c r="E175" s="5">
        <v>1649</v>
      </c>
    </row>
    <row r="176" spans="1:5" ht="14.25" hidden="1" customHeight="1" x14ac:dyDescent="0.3">
      <c r="A176" s="6">
        <v>43961</v>
      </c>
      <c r="B176" s="5" t="s">
        <v>23</v>
      </c>
      <c r="C176" s="5">
        <v>15</v>
      </c>
      <c r="D176" s="5">
        <v>792</v>
      </c>
      <c r="E176" s="5">
        <v>695</v>
      </c>
    </row>
    <row r="177" spans="1:5" ht="14.25" hidden="1" customHeight="1" x14ac:dyDescent="0.3">
      <c r="A177" s="6">
        <v>43961</v>
      </c>
      <c r="B177" s="5" t="s">
        <v>18</v>
      </c>
      <c r="C177" s="5">
        <v>15</v>
      </c>
      <c r="D177" s="5">
        <v>950</v>
      </c>
      <c r="E177" s="5">
        <v>848</v>
      </c>
    </row>
    <row r="178" spans="1:5" ht="14.25" hidden="1" customHeight="1" x14ac:dyDescent="0.3">
      <c r="A178" s="6">
        <v>43961</v>
      </c>
      <c r="B178" s="5" t="s">
        <v>19</v>
      </c>
      <c r="C178" s="5">
        <v>15</v>
      </c>
      <c r="D178" s="5">
        <v>706</v>
      </c>
      <c r="E178" s="5">
        <v>608</v>
      </c>
    </row>
    <row r="179" spans="1:5" ht="14.25" hidden="1" customHeight="1" x14ac:dyDescent="0.3">
      <c r="A179" s="6">
        <v>43961</v>
      </c>
      <c r="B179" s="5" t="s">
        <v>15</v>
      </c>
      <c r="C179" s="5">
        <v>125</v>
      </c>
      <c r="D179" s="5">
        <v>20368</v>
      </c>
      <c r="E179" s="5">
        <v>18884</v>
      </c>
    </row>
    <row r="180" spans="1:5" ht="14.25" hidden="1" customHeight="1" x14ac:dyDescent="0.3">
      <c r="A180" s="6">
        <v>43961</v>
      </c>
      <c r="B180" s="5" t="s">
        <v>14</v>
      </c>
      <c r="C180" s="5">
        <v>129</v>
      </c>
      <c r="D180" s="5">
        <v>16437</v>
      </c>
      <c r="E180" s="5">
        <v>15285</v>
      </c>
    </row>
    <row r="181" spans="1:5" ht="14.25" hidden="1" customHeight="1" x14ac:dyDescent="0.3">
      <c r="A181" s="6">
        <v>43961</v>
      </c>
      <c r="B181" s="5" t="s">
        <v>12</v>
      </c>
      <c r="C181" s="5">
        <v>10</v>
      </c>
      <c r="D181" s="5">
        <v>642</v>
      </c>
      <c r="E181" s="5">
        <v>556</v>
      </c>
    </row>
    <row r="182" spans="1:5" ht="14.25" hidden="1" customHeight="1" x14ac:dyDescent="0.3">
      <c r="A182" s="6">
        <v>43962</v>
      </c>
      <c r="B182" s="5" t="s">
        <v>16</v>
      </c>
      <c r="C182" s="5">
        <v>36</v>
      </c>
      <c r="D182" s="5">
        <v>4150</v>
      </c>
      <c r="E182" s="5">
        <v>3838</v>
      </c>
    </row>
    <row r="183" spans="1:5" ht="14.25" hidden="1" customHeight="1" x14ac:dyDescent="0.3">
      <c r="A183" s="6">
        <v>43962</v>
      </c>
      <c r="B183" s="5" t="s">
        <v>11</v>
      </c>
      <c r="C183" s="5">
        <v>31</v>
      </c>
      <c r="D183" s="5">
        <v>4826</v>
      </c>
      <c r="E183" s="5">
        <v>4483</v>
      </c>
    </row>
    <row r="184" spans="1:5" ht="14.25" hidden="1" customHeight="1" x14ac:dyDescent="0.3">
      <c r="A184" s="6">
        <v>43962</v>
      </c>
      <c r="B184" s="5" t="s">
        <v>17</v>
      </c>
      <c r="C184" s="5">
        <v>21</v>
      </c>
      <c r="D184" s="5">
        <v>1916</v>
      </c>
      <c r="E184" s="5">
        <v>1733</v>
      </c>
    </row>
    <row r="185" spans="1:5" ht="14.25" hidden="1" customHeight="1" x14ac:dyDescent="0.3">
      <c r="A185" s="6">
        <v>43962</v>
      </c>
      <c r="B185" s="5" t="s">
        <v>10</v>
      </c>
      <c r="C185" s="5">
        <v>21</v>
      </c>
      <c r="D185" s="5">
        <v>1597</v>
      </c>
      <c r="E185" s="5">
        <v>1457</v>
      </c>
    </row>
    <row r="186" spans="1:5" ht="14.25" hidden="1" customHeight="1" x14ac:dyDescent="0.3">
      <c r="A186" s="6">
        <v>43962</v>
      </c>
      <c r="B186" s="5" t="s">
        <v>20</v>
      </c>
      <c r="C186" s="5">
        <v>19</v>
      </c>
      <c r="D186" s="5">
        <v>1527</v>
      </c>
      <c r="E186" s="5">
        <v>1389</v>
      </c>
    </row>
    <row r="187" spans="1:5" ht="14.25" hidden="1" customHeight="1" x14ac:dyDescent="0.3">
      <c r="A187" s="6">
        <v>43962</v>
      </c>
      <c r="B187" s="5" t="s">
        <v>22</v>
      </c>
      <c r="C187" s="5">
        <v>54</v>
      </c>
      <c r="D187" s="5">
        <v>10570</v>
      </c>
      <c r="E187" s="5">
        <v>9926</v>
      </c>
    </row>
    <row r="188" spans="1:5" ht="14.25" hidden="1" customHeight="1" x14ac:dyDescent="0.3">
      <c r="A188" s="6">
        <v>43962</v>
      </c>
      <c r="B188" s="5" t="s">
        <v>21</v>
      </c>
      <c r="C188" s="5">
        <v>60</v>
      </c>
      <c r="D188" s="5">
        <v>11100</v>
      </c>
      <c r="E188" s="5">
        <v>10407</v>
      </c>
    </row>
    <row r="189" spans="1:5" ht="14.25" hidden="1" customHeight="1" x14ac:dyDescent="0.3">
      <c r="A189" s="6">
        <v>43962</v>
      </c>
      <c r="B189" s="5" t="s">
        <v>13</v>
      </c>
      <c r="C189" s="5">
        <v>19</v>
      </c>
      <c r="D189" s="5">
        <v>2530</v>
      </c>
      <c r="E189" s="5">
        <v>2270</v>
      </c>
    </row>
    <row r="190" spans="1:5" ht="14.25" hidden="1" customHeight="1" x14ac:dyDescent="0.3">
      <c r="A190" s="6">
        <v>43962</v>
      </c>
      <c r="B190" s="5" t="s">
        <v>23</v>
      </c>
      <c r="C190" s="5">
        <v>15</v>
      </c>
      <c r="D190" s="5">
        <v>654</v>
      </c>
      <c r="E190" s="5">
        <v>564</v>
      </c>
    </row>
    <row r="191" spans="1:5" ht="14.25" hidden="1" customHeight="1" x14ac:dyDescent="0.3">
      <c r="A191" s="6">
        <v>43962</v>
      </c>
      <c r="B191" s="5" t="s">
        <v>18</v>
      </c>
      <c r="C191" s="5">
        <v>15</v>
      </c>
      <c r="D191" s="5">
        <v>812</v>
      </c>
      <c r="E191" s="5">
        <v>714</v>
      </c>
    </row>
    <row r="192" spans="1:5" ht="14.25" hidden="1" customHeight="1" x14ac:dyDescent="0.3">
      <c r="A192" s="6">
        <v>43962</v>
      </c>
      <c r="B192" s="5" t="s">
        <v>19</v>
      </c>
      <c r="C192" s="5">
        <v>15</v>
      </c>
      <c r="D192" s="5">
        <v>684</v>
      </c>
      <c r="E192" s="5">
        <v>585</v>
      </c>
    </row>
    <row r="193" spans="1:5" ht="14.25" hidden="1" customHeight="1" x14ac:dyDescent="0.3">
      <c r="A193" s="6">
        <v>43962</v>
      </c>
      <c r="B193" s="5" t="s">
        <v>15</v>
      </c>
      <c r="C193" s="5">
        <v>125</v>
      </c>
      <c r="D193" s="5">
        <v>18066</v>
      </c>
      <c r="E193" s="5">
        <v>16883</v>
      </c>
    </row>
    <row r="194" spans="1:5" ht="14.25" hidden="1" customHeight="1" x14ac:dyDescent="0.3">
      <c r="A194" s="6">
        <v>43962</v>
      </c>
      <c r="B194" s="5" t="s">
        <v>14</v>
      </c>
      <c r="C194" s="5">
        <v>129</v>
      </c>
      <c r="D194" s="5">
        <v>14043</v>
      </c>
      <c r="E194" s="5">
        <v>13167</v>
      </c>
    </row>
    <row r="195" spans="1:5" ht="14.25" hidden="1" customHeight="1" x14ac:dyDescent="0.3">
      <c r="A195" s="6">
        <v>43962</v>
      </c>
      <c r="B195" s="5" t="s">
        <v>12</v>
      </c>
      <c r="C195" s="5">
        <v>10</v>
      </c>
      <c r="D195" s="5">
        <v>494</v>
      </c>
      <c r="E195" s="5">
        <v>421</v>
      </c>
    </row>
    <row r="196" spans="1:5" ht="14.25" hidden="1" customHeight="1" x14ac:dyDescent="0.3">
      <c r="A196" s="6">
        <v>43963</v>
      </c>
      <c r="B196" s="5" t="s">
        <v>16</v>
      </c>
      <c r="C196" s="5">
        <v>36</v>
      </c>
      <c r="D196" s="5">
        <v>4418</v>
      </c>
      <c r="E196" s="5">
        <v>4088</v>
      </c>
    </row>
    <row r="197" spans="1:5" ht="14.25" hidden="1" customHeight="1" x14ac:dyDescent="0.3">
      <c r="A197" s="6">
        <v>43963</v>
      </c>
      <c r="B197" s="5" t="s">
        <v>11</v>
      </c>
      <c r="C197" s="5">
        <v>31</v>
      </c>
      <c r="D197" s="5">
        <v>4800</v>
      </c>
      <c r="E197" s="5">
        <v>4470</v>
      </c>
    </row>
    <row r="198" spans="1:5" ht="14.25" hidden="1" customHeight="1" x14ac:dyDescent="0.3">
      <c r="A198" s="6">
        <v>43963</v>
      </c>
      <c r="B198" s="5" t="s">
        <v>17</v>
      </c>
      <c r="C198" s="5">
        <v>21</v>
      </c>
      <c r="D198" s="5">
        <v>1926</v>
      </c>
      <c r="E198" s="5">
        <v>1745</v>
      </c>
    </row>
    <row r="199" spans="1:5" ht="14.25" hidden="1" customHeight="1" x14ac:dyDescent="0.3">
      <c r="A199" s="6">
        <v>43963</v>
      </c>
      <c r="B199" s="5" t="s">
        <v>10</v>
      </c>
      <c r="C199" s="5">
        <v>21</v>
      </c>
      <c r="D199" s="5">
        <v>1656</v>
      </c>
      <c r="E199" s="5">
        <v>1516</v>
      </c>
    </row>
    <row r="200" spans="1:5" ht="14.25" hidden="1" customHeight="1" x14ac:dyDescent="0.3">
      <c r="A200" s="6">
        <v>43963</v>
      </c>
      <c r="B200" s="5" t="s">
        <v>20</v>
      </c>
      <c r="C200" s="5">
        <v>19</v>
      </c>
      <c r="D200" s="5">
        <v>1598</v>
      </c>
      <c r="E200" s="5">
        <v>1454</v>
      </c>
    </row>
    <row r="201" spans="1:5" ht="14.25" hidden="1" customHeight="1" x14ac:dyDescent="0.3">
      <c r="A201" s="6">
        <v>43963</v>
      </c>
      <c r="B201" s="5" t="s">
        <v>22</v>
      </c>
      <c r="C201" s="5">
        <v>54</v>
      </c>
      <c r="D201" s="5">
        <v>11614</v>
      </c>
      <c r="E201" s="5">
        <v>10862</v>
      </c>
    </row>
    <row r="202" spans="1:5" ht="14.25" hidden="1" customHeight="1" x14ac:dyDescent="0.3">
      <c r="A202" s="6">
        <v>43963</v>
      </c>
      <c r="B202" s="5" t="s">
        <v>21</v>
      </c>
      <c r="C202" s="5">
        <v>60</v>
      </c>
      <c r="D202" s="5">
        <v>12000</v>
      </c>
      <c r="E202" s="5">
        <v>11194</v>
      </c>
    </row>
    <row r="203" spans="1:5" ht="14.25" hidden="1" customHeight="1" x14ac:dyDescent="0.3">
      <c r="A203" s="6">
        <v>43963</v>
      </c>
      <c r="B203" s="5" t="s">
        <v>13</v>
      </c>
      <c r="C203" s="5">
        <v>19</v>
      </c>
      <c r="D203" s="5">
        <v>1649</v>
      </c>
      <c r="E203" s="5">
        <v>1460</v>
      </c>
    </row>
    <row r="204" spans="1:5" ht="14.25" hidden="1" customHeight="1" x14ac:dyDescent="0.3">
      <c r="A204" s="6">
        <v>43963</v>
      </c>
      <c r="B204" s="5" t="s">
        <v>23</v>
      </c>
      <c r="C204" s="5">
        <v>15</v>
      </c>
      <c r="D204" s="5">
        <v>750</v>
      </c>
      <c r="E204" s="5">
        <v>659</v>
      </c>
    </row>
    <row r="205" spans="1:5" ht="14.25" hidden="1" customHeight="1" x14ac:dyDescent="0.3">
      <c r="A205" s="6">
        <v>43963</v>
      </c>
      <c r="B205" s="5" t="s">
        <v>18</v>
      </c>
      <c r="C205" s="5">
        <v>15</v>
      </c>
      <c r="D205" s="5">
        <v>845</v>
      </c>
      <c r="E205" s="5">
        <v>743</v>
      </c>
    </row>
    <row r="206" spans="1:5" ht="14.25" hidden="1" customHeight="1" x14ac:dyDescent="0.3">
      <c r="A206" s="6">
        <v>43963</v>
      </c>
      <c r="B206" s="5" t="s">
        <v>19</v>
      </c>
      <c r="C206" s="5">
        <v>15</v>
      </c>
      <c r="D206" s="5">
        <v>624</v>
      </c>
      <c r="E206" s="5">
        <v>538</v>
      </c>
    </row>
    <row r="207" spans="1:5" ht="14.25" hidden="1" customHeight="1" x14ac:dyDescent="0.3">
      <c r="A207" s="6">
        <v>43963</v>
      </c>
      <c r="B207" s="5" t="s">
        <v>15</v>
      </c>
      <c r="C207" s="5">
        <v>125</v>
      </c>
      <c r="D207" s="5">
        <v>21106</v>
      </c>
      <c r="E207" s="5">
        <v>19651</v>
      </c>
    </row>
    <row r="208" spans="1:5" ht="14.25" hidden="1" customHeight="1" x14ac:dyDescent="0.3">
      <c r="A208" s="6">
        <v>43963</v>
      </c>
      <c r="B208" s="5" t="s">
        <v>14</v>
      </c>
      <c r="C208" s="5">
        <v>129</v>
      </c>
      <c r="D208" s="5">
        <v>16387</v>
      </c>
      <c r="E208" s="5">
        <v>15322</v>
      </c>
    </row>
    <row r="209" spans="1:5" ht="14.25" hidden="1" customHeight="1" x14ac:dyDescent="0.3">
      <c r="A209" s="6">
        <v>43963</v>
      </c>
      <c r="B209" s="5" t="s">
        <v>12</v>
      </c>
      <c r="C209" s="5">
        <v>10</v>
      </c>
      <c r="D209" s="5">
        <v>526</v>
      </c>
      <c r="E209" s="5">
        <v>448</v>
      </c>
    </row>
    <row r="210" spans="1:5" ht="14.25" hidden="1" customHeight="1" x14ac:dyDescent="0.3">
      <c r="A210" s="6">
        <v>43964</v>
      </c>
      <c r="B210" s="5" t="s">
        <v>16</v>
      </c>
      <c r="C210" s="5">
        <v>36</v>
      </c>
      <c r="D210" s="5">
        <v>4967</v>
      </c>
      <c r="E210" s="5">
        <v>4583</v>
      </c>
    </row>
    <row r="211" spans="1:5" ht="14.25" hidden="1" customHeight="1" x14ac:dyDescent="0.3">
      <c r="A211" s="6">
        <v>43964</v>
      </c>
      <c r="B211" s="5" t="s">
        <v>11</v>
      </c>
      <c r="C211" s="5">
        <v>31</v>
      </c>
      <c r="D211" s="5">
        <v>5251</v>
      </c>
      <c r="E211" s="5">
        <v>4853</v>
      </c>
    </row>
    <row r="212" spans="1:5" ht="14.25" hidden="1" customHeight="1" x14ac:dyDescent="0.3">
      <c r="A212" s="6">
        <v>43964</v>
      </c>
      <c r="B212" s="5" t="s">
        <v>17</v>
      </c>
      <c r="C212" s="5">
        <v>21</v>
      </c>
      <c r="D212" s="5">
        <v>2061</v>
      </c>
      <c r="E212" s="5">
        <v>1876</v>
      </c>
    </row>
    <row r="213" spans="1:5" ht="14.25" hidden="1" customHeight="1" x14ac:dyDescent="0.3">
      <c r="A213" s="6">
        <v>43964</v>
      </c>
      <c r="B213" s="5" t="s">
        <v>10</v>
      </c>
      <c r="C213" s="5">
        <v>21</v>
      </c>
      <c r="D213" s="5">
        <v>1698</v>
      </c>
      <c r="E213" s="5">
        <v>1554</v>
      </c>
    </row>
    <row r="214" spans="1:5" ht="14.25" hidden="1" customHeight="1" x14ac:dyDescent="0.3">
      <c r="A214" s="6">
        <v>43964</v>
      </c>
      <c r="B214" s="5" t="s">
        <v>20</v>
      </c>
      <c r="C214" s="5">
        <v>19</v>
      </c>
      <c r="D214" s="5">
        <v>1605</v>
      </c>
      <c r="E214" s="5">
        <v>1447</v>
      </c>
    </row>
    <row r="215" spans="1:5" ht="14.25" hidden="1" customHeight="1" x14ac:dyDescent="0.3">
      <c r="A215" s="6">
        <v>43964</v>
      </c>
      <c r="B215" s="5" t="s">
        <v>22</v>
      </c>
      <c r="C215" s="5">
        <v>54</v>
      </c>
      <c r="D215" s="5">
        <v>11522</v>
      </c>
      <c r="E215" s="5">
        <v>10803</v>
      </c>
    </row>
    <row r="216" spans="1:5" ht="14.25" hidden="1" customHeight="1" x14ac:dyDescent="0.3">
      <c r="A216" s="6">
        <v>43964</v>
      </c>
      <c r="B216" s="5" t="s">
        <v>21</v>
      </c>
      <c r="C216" s="5">
        <v>60</v>
      </c>
      <c r="D216" s="5">
        <v>12007</v>
      </c>
      <c r="E216" s="5">
        <v>11245</v>
      </c>
    </row>
    <row r="217" spans="1:5" ht="14.25" hidden="1" customHeight="1" x14ac:dyDescent="0.3">
      <c r="A217" s="6">
        <v>43964</v>
      </c>
      <c r="B217" s="5" t="s">
        <v>13</v>
      </c>
      <c r="C217" s="5">
        <v>19</v>
      </c>
      <c r="D217" s="5">
        <v>1625</v>
      </c>
      <c r="E217" s="5">
        <v>1444</v>
      </c>
    </row>
    <row r="218" spans="1:5" ht="14.25" hidden="1" customHeight="1" x14ac:dyDescent="0.3">
      <c r="A218" s="6">
        <v>43964</v>
      </c>
      <c r="B218" s="5" t="s">
        <v>23</v>
      </c>
      <c r="C218" s="5">
        <v>15</v>
      </c>
      <c r="D218" s="5">
        <v>854</v>
      </c>
      <c r="E218" s="5">
        <v>756</v>
      </c>
    </row>
    <row r="219" spans="1:5" ht="14.25" hidden="1" customHeight="1" x14ac:dyDescent="0.3">
      <c r="A219" s="6">
        <v>43964</v>
      </c>
      <c r="B219" s="5" t="s">
        <v>18</v>
      </c>
      <c r="C219" s="5">
        <v>15</v>
      </c>
      <c r="D219" s="5">
        <v>898</v>
      </c>
      <c r="E219" s="5">
        <v>795</v>
      </c>
    </row>
    <row r="220" spans="1:5" ht="14.25" hidden="1" customHeight="1" x14ac:dyDescent="0.3">
      <c r="A220" s="6">
        <v>43964</v>
      </c>
      <c r="B220" s="5" t="s">
        <v>19</v>
      </c>
      <c r="C220" s="5">
        <v>15</v>
      </c>
      <c r="D220" s="5">
        <v>599</v>
      </c>
      <c r="E220" s="5">
        <v>515</v>
      </c>
    </row>
    <row r="221" spans="1:5" ht="14.25" hidden="1" customHeight="1" x14ac:dyDescent="0.3">
      <c r="A221" s="6">
        <v>43964</v>
      </c>
      <c r="B221" s="5" t="s">
        <v>15</v>
      </c>
      <c r="C221" s="5">
        <v>125</v>
      </c>
      <c r="D221" s="5">
        <v>19965</v>
      </c>
      <c r="E221" s="5">
        <v>18573</v>
      </c>
    </row>
    <row r="222" spans="1:5" ht="14.25" hidden="1" customHeight="1" x14ac:dyDescent="0.3">
      <c r="A222" s="6">
        <v>43964</v>
      </c>
      <c r="B222" s="5" t="s">
        <v>14</v>
      </c>
      <c r="C222" s="5">
        <v>129</v>
      </c>
      <c r="D222" s="5">
        <v>15304</v>
      </c>
      <c r="E222" s="5">
        <v>14315</v>
      </c>
    </row>
    <row r="223" spans="1:5" ht="14.25" hidden="1" customHeight="1" x14ac:dyDescent="0.3">
      <c r="A223" s="6">
        <v>43964</v>
      </c>
      <c r="B223" s="5" t="s">
        <v>12</v>
      </c>
      <c r="C223" s="5">
        <v>10</v>
      </c>
      <c r="D223" s="5">
        <v>612</v>
      </c>
      <c r="E223" s="5">
        <v>530</v>
      </c>
    </row>
    <row r="224" spans="1:5" ht="14.25" hidden="1" customHeight="1" x14ac:dyDescent="0.3">
      <c r="A224" s="6">
        <v>43965</v>
      </c>
      <c r="B224" s="5" t="s">
        <v>16</v>
      </c>
      <c r="C224" s="5">
        <v>36</v>
      </c>
      <c r="D224" s="5">
        <v>4285</v>
      </c>
      <c r="E224" s="5">
        <v>3950</v>
      </c>
    </row>
    <row r="225" spans="1:5" ht="14.25" hidden="1" customHeight="1" x14ac:dyDescent="0.3">
      <c r="A225" s="6">
        <v>43965</v>
      </c>
      <c r="B225" s="5" t="s">
        <v>11</v>
      </c>
      <c r="C225" s="5">
        <v>31</v>
      </c>
      <c r="D225" s="5">
        <v>4695</v>
      </c>
      <c r="E225" s="5">
        <v>4372</v>
      </c>
    </row>
    <row r="226" spans="1:5" ht="14.25" hidden="1" customHeight="1" x14ac:dyDescent="0.3">
      <c r="A226" s="6">
        <v>43965</v>
      </c>
      <c r="B226" s="5" t="s">
        <v>17</v>
      </c>
      <c r="C226" s="5">
        <v>21</v>
      </c>
      <c r="D226" s="5">
        <v>1993</v>
      </c>
      <c r="E226" s="5">
        <v>1796</v>
      </c>
    </row>
    <row r="227" spans="1:5" ht="14.25" hidden="1" customHeight="1" x14ac:dyDescent="0.3">
      <c r="A227" s="6">
        <v>43965</v>
      </c>
      <c r="B227" s="5" t="s">
        <v>10</v>
      </c>
      <c r="C227" s="5">
        <v>21</v>
      </c>
      <c r="D227" s="5">
        <v>1706</v>
      </c>
      <c r="E227" s="5">
        <v>1548</v>
      </c>
    </row>
    <row r="228" spans="1:5" ht="14.25" hidden="1" customHeight="1" x14ac:dyDescent="0.3">
      <c r="A228" s="6">
        <v>43965</v>
      </c>
      <c r="B228" s="5" t="s">
        <v>20</v>
      </c>
      <c r="C228" s="5">
        <v>19</v>
      </c>
      <c r="D228" s="5">
        <v>1635</v>
      </c>
      <c r="E228" s="5">
        <v>1487</v>
      </c>
    </row>
    <row r="229" spans="1:5" ht="14.25" hidden="1" customHeight="1" x14ac:dyDescent="0.3">
      <c r="A229" s="6">
        <v>43965</v>
      </c>
      <c r="B229" s="5" t="s">
        <v>22</v>
      </c>
      <c r="C229" s="5">
        <v>54</v>
      </c>
      <c r="D229" s="5">
        <v>11194</v>
      </c>
      <c r="E229" s="5">
        <v>10554</v>
      </c>
    </row>
    <row r="230" spans="1:5" ht="14.25" hidden="1" customHeight="1" x14ac:dyDescent="0.3">
      <c r="A230" s="6">
        <v>43965</v>
      </c>
      <c r="B230" s="5" t="s">
        <v>21</v>
      </c>
      <c r="C230" s="5">
        <v>60</v>
      </c>
      <c r="D230" s="5">
        <v>11935</v>
      </c>
      <c r="E230" s="5">
        <v>11178</v>
      </c>
    </row>
    <row r="231" spans="1:5" ht="14.25" hidden="1" customHeight="1" x14ac:dyDescent="0.3">
      <c r="A231" s="6">
        <v>43965</v>
      </c>
      <c r="B231" s="5" t="s">
        <v>13</v>
      </c>
      <c r="C231" s="5">
        <v>19</v>
      </c>
      <c r="D231" s="5">
        <v>1675</v>
      </c>
      <c r="E231" s="5">
        <v>1475</v>
      </c>
    </row>
    <row r="232" spans="1:5" ht="14.25" hidden="1" customHeight="1" x14ac:dyDescent="0.3">
      <c r="A232" s="6">
        <v>43965</v>
      </c>
      <c r="B232" s="5" t="s">
        <v>23</v>
      </c>
      <c r="C232" s="5">
        <v>16</v>
      </c>
      <c r="D232" s="5">
        <v>834</v>
      </c>
      <c r="E232" s="5">
        <v>735</v>
      </c>
    </row>
    <row r="233" spans="1:5" ht="14.25" hidden="1" customHeight="1" x14ac:dyDescent="0.3">
      <c r="A233" s="6">
        <v>43965</v>
      </c>
      <c r="B233" s="5" t="s">
        <v>18</v>
      </c>
      <c r="C233" s="5">
        <v>15</v>
      </c>
      <c r="D233" s="5">
        <v>890</v>
      </c>
      <c r="E233" s="5">
        <v>777</v>
      </c>
    </row>
    <row r="234" spans="1:5" ht="14.25" hidden="1" customHeight="1" x14ac:dyDescent="0.3">
      <c r="A234" s="6">
        <v>43965</v>
      </c>
      <c r="B234" s="5" t="s">
        <v>19</v>
      </c>
      <c r="C234" s="5">
        <v>15</v>
      </c>
      <c r="D234" s="5">
        <v>638</v>
      </c>
      <c r="E234" s="5">
        <v>548</v>
      </c>
    </row>
    <row r="235" spans="1:5" ht="14.25" hidden="1" customHeight="1" x14ac:dyDescent="0.3">
      <c r="A235" s="6">
        <v>43965</v>
      </c>
      <c r="B235" s="5" t="s">
        <v>15</v>
      </c>
      <c r="C235" s="5">
        <v>125</v>
      </c>
      <c r="D235" s="5">
        <v>20247</v>
      </c>
      <c r="E235" s="5">
        <v>18812</v>
      </c>
    </row>
    <row r="236" spans="1:5" ht="14.25" hidden="1" customHeight="1" x14ac:dyDescent="0.3">
      <c r="A236" s="6">
        <v>43965</v>
      </c>
      <c r="B236" s="5" t="s">
        <v>14</v>
      </c>
      <c r="C236" s="5">
        <v>129</v>
      </c>
      <c r="D236" s="5">
        <v>15804</v>
      </c>
      <c r="E236" s="5">
        <v>14738</v>
      </c>
    </row>
    <row r="237" spans="1:5" ht="14.25" hidden="1" customHeight="1" x14ac:dyDescent="0.3">
      <c r="A237" s="6">
        <v>43965</v>
      </c>
      <c r="B237" s="5" t="s">
        <v>12</v>
      </c>
      <c r="C237" s="5">
        <v>10</v>
      </c>
      <c r="D237" s="5">
        <v>627</v>
      </c>
      <c r="E237" s="5">
        <v>545</v>
      </c>
    </row>
    <row r="238" spans="1:5" ht="14.25" hidden="1" customHeight="1" x14ac:dyDescent="0.3">
      <c r="A238" s="6">
        <v>43966</v>
      </c>
      <c r="B238" s="5" t="s">
        <v>16</v>
      </c>
      <c r="C238" s="5">
        <v>36</v>
      </c>
      <c r="D238" s="5">
        <v>4862</v>
      </c>
      <c r="E238" s="5">
        <v>4476</v>
      </c>
    </row>
    <row r="239" spans="1:5" ht="14.25" hidden="1" customHeight="1" x14ac:dyDescent="0.3">
      <c r="A239" s="6">
        <v>43966</v>
      </c>
      <c r="B239" s="5" t="s">
        <v>11</v>
      </c>
      <c r="C239" s="5">
        <v>31</v>
      </c>
      <c r="D239" s="5">
        <v>5184</v>
      </c>
      <c r="E239" s="5">
        <v>4778</v>
      </c>
    </row>
    <row r="240" spans="1:5" ht="14.25" hidden="1" customHeight="1" x14ac:dyDescent="0.3">
      <c r="A240" s="6">
        <v>43966</v>
      </c>
      <c r="B240" s="5" t="s">
        <v>17</v>
      </c>
      <c r="C240" s="5">
        <v>21</v>
      </c>
      <c r="D240" s="5">
        <v>2255</v>
      </c>
      <c r="E240" s="5">
        <v>2045</v>
      </c>
    </row>
    <row r="241" spans="1:5" ht="14.25" hidden="1" customHeight="1" x14ac:dyDescent="0.3">
      <c r="A241" s="6">
        <v>43966</v>
      </c>
      <c r="B241" s="5" t="s">
        <v>10</v>
      </c>
      <c r="C241" s="5">
        <v>21</v>
      </c>
      <c r="D241" s="5">
        <v>1926</v>
      </c>
      <c r="E241" s="5">
        <v>1742</v>
      </c>
    </row>
    <row r="242" spans="1:5" ht="14.25" hidden="1" customHeight="1" x14ac:dyDescent="0.3">
      <c r="A242" s="6">
        <v>43966</v>
      </c>
      <c r="B242" s="5" t="s">
        <v>20</v>
      </c>
      <c r="C242" s="5">
        <v>19</v>
      </c>
      <c r="D242" s="5">
        <v>1780</v>
      </c>
      <c r="E242" s="5">
        <v>1615</v>
      </c>
    </row>
    <row r="243" spans="1:5" ht="14.25" hidden="1" customHeight="1" x14ac:dyDescent="0.3">
      <c r="A243" s="6">
        <v>43966</v>
      </c>
      <c r="B243" s="5" t="s">
        <v>22</v>
      </c>
      <c r="C243" s="5">
        <v>54</v>
      </c>
      <c r="D243" s="5">
        <v>12791</v>
      </c>
      <c r="E243" s="5">
        <v>11950</v>
      </c>
    </row>
    <row r="244" spans="1:5" ht="14.25" hidden="1" customHeight="1" x14ac:dyDescent="0.3">
      <c r="A244" s="6">
        <v>43966</v>
      </c>
      <c r="B244" s="5" t="s">
        <v>21</v>
      </c>
      <c r="C244" s="5">
        <v>60</v>
      </c>
      <c r="D244" s="5">
        <v>13544</v>
      </c>
      <c r="E244" s="5">
        <v>12643</v>
      </c>
    </row>
    <row r="245" spans="1:5" ht="14.25" hidden="1" customHeight="1" x14ac:dyDescent="0.3">
      <c r="A245" s="6">
        <v>43966</v>
      </c>
      <c r="B245" s="5" t="s">
        <v>13</v>
      </c>
      <c r="C245" s="5">
        <v>19</v>
      </c>
      <c r="D245" s="5">
        <v>1940</v>
      </c>
      <c r="E245" s="5">
        <v>1715</v>
      </c>
    </row>
    <row r="246" spans="1:5" ht="14.25" hidden="1" customHeight="1" x14ac:dyDescent="0.3">
      <c r="A246" s="6">
        <v>43966</v>
      </c>
      <c r="B246" s="5" t="s">
        <v>23</v>
      </c>
      <c r="C246" s="5">
        <v>16</v>
      </c>
      <c r="D246" s="5">
        <v>817</v>
      </c>
      <c r="E246" s="5">
        <v>718</v>
      </c>
    </row>
    <row r="247" spans="1:5" ht="14.25" hidden="1" customHeight="1" x14ac:dyDescent="0.3">
      <c r="A247" s="6">
        <v>43966</v>
      </c>
      <c r="B247" s="5" t="s">
        <v>18</v>
      </c>
      <c r="C247" s="5">
        <v>15</v>
      </c>
      <c r="D247" s="5">
        <v>980</v>
      </c>
      <c r="E247" s="5">
        <v>867</v>
      </c>
    </row>
    <row r="248" spans="1:5" ht="14.25" hidden="1" customHeight="1" x14ac:dyDescent="0.3">
      <c r="A248" s="6">
        <v>43966</v>
      </c>
      <c r="B248" s="5" t="s">
        <v>19</v>
      </c>
      <c r="C248" s="5">
        <v>15</v>
      </c>
      <c r="D248" s="5">
        <v>688</v>
      </c>
      <c r="E248" s="5">
        <v>598</v>
      </c>
    </row>
    <row r="249" spans="1:5" ht="14.25" hidden="1" customHeight="1" x14ac:dyDescent="0.3">
      <c r="A249" s="6">
        <v>43966</v>
      </c>
      <c r="B249" s="5" t="s">
        <v>15</v>
      </c>
      <c r="C249" s="5">
        <v>125</v>
      </c>
      <c r="D249" s="5">
        <v>21862</v>
      </c>
      <c r="E249" s="5">
        <v>20235</v>
      </c>
    </row>
    <row r="250" spans="1:5" ht="14.25" hidden="1" customHeight="1" x14ac:dyDescent="0.3">
      <c r="A250" s="6">
        <v>43966</v>
      </c>
      <c r="B250" s="5" t="s">
        <v>14</v>
      </c>
      <c r="C250" s="5">
        <v>129</v>
      </c>
      <c r="D250" s="5">
        <v>17808</v>
      </c>
      <c r="E250" s="5">
        <v>16486</v>
      </c>
    </row>
    <row r="251" spans="1:5" ht="14.25" hidden="1" customHeight="1" x14ac:dyDescent="0.3">
      <c r="A251" s="6">
        <v>43966</v>
      </c>
      <c r="B251" s="5" t="s">
        <v>12</v>
      </c>
      <c r="C251" s="5">
        <v>10</v>
      </c>
      <c r="D251" s="5">
        <v>743</v>
      </c>
      <c r="E251" s="5">
        <v>652</v>
      </c>
    </row>
    <row r="252" spans="1:5" ht="14.25" hidden="1" customHeight="1" x14ac:dyDescent="0.3">
      <c r="A252" s="6">
        <v>43967</v>
      </c>
      <c r="B252" s="5" t="s">
        <v>16</v>
      </c>
      <c r="C252" s="5">
        <v>36</v>
      </c>
      <c r="D252" s="5">
        <v>5286</v>
      </c>
      <c r="E252" s="5">
        <v>4867</v>
      </c>
    </row>
    <row r="253" spans="1:5" ht="14.25" hidden="1" customHeight="1" x14ac:dyDescent="0.3">
      <c r="A253" s="6">
        <v>43967</v>
      </c>
      <c r="B253" s="5" t="s">
        <v>11</v>
      </c>
      <c r="C253" s="5">
        <v>31</v>
      </c>
      <c r="D253" s="5">
        <v>5593</v>
      </c>
      <c r="E253" s="5">
        <v>5177</v>
      </c>
    </row>
    <row r="254" spans="1:5" ht="14.25" hidden="1" customHeight="1" x14ac:dyDescent="0.3">
      <c r="A254" s="6">
        <v>43967</v>
      </c>
      <c r="B254" s="5" t="s">
        <v>17</v>
      </c>
      <c r="C254" s="5">
        <v>21</v>
      </c>
      <c r="D254" s="5">
        <v>2427</v>
      </c>
      <c r="E254" s="5">
        <v>2213</v>
      </c>
    </row>
    <row r="255" spans="1:5" ht="14.25" hidden="1" customHeight="1" x14ac:dyDescent="0.3">
      <c r="A255" s="6">
        <v>43967</v>
      </c>
      <c r="B255" s="5" t="s">
        <v>10</v>
      </c>
      <c r="C255" s="5">
        <v>21</v>
      </c>
      <c r="D255" s="5">
        <v>2145</v>
      </c>
      <c r="E255" s="5">
        <v>1947</v>
      </c>
    </row>
    <row r="256" spans="1:5" ht="14.25" hidden="1" customHeight="1" x14ac:dyDescent="0.3">
      <c r="A256" s="6">
        <v>43967</v>
      </c>
      <c r="B256" s="5" t="s">
        <v>20</v>
      </c>
      <c r="C256" s="5">
        <v>19</v>
      </c>
      <c r="D256" s="5">
        <v>2039</v>
      </c>
      <c r="E256" s="5">
        <v>1868</v>
      </c>
    </row>
    <row r="257" spans="1:5" ht="14.25" hidden="1" customHeight="1" x14ac:dyDescent="0.3">
      <c r="A257" s="6">
        <v>43967</v>
      </c>
      <c r="B257" s="5" t="s">
        <v>22</v>
      </c>
      <c r="C257" s="5">
        <v>54</v>
      </c>
      <c r="D257" s="5">
        <v>13170</v>
      </c>
      <c r="E257" s="5">
        <v>12299</v>
      </c>
    </row>
    <row r="258" spans="1:5" ht="14.25" hidden="1" customHeight="1" x14ac:dyDescent="0.3">
      <c r="A258" s="6">
        <v>43967</v>
      </c>
      <c r="B258" s="5" t="s">
        <v>21</v>
      </c>
      <c r="C258" s="5">
        <v>60</v>
      </c>
      <c r="D258" s="5">
        <v>14049</v>
      </c>
      <c r="E258" s="5">
        <v>13118</v>
      </c>
    </row>
    <row r="259" spans="1:5" ht="14.25" hidden="1" customHeight="1" x14ac:dyDescent="0.3">
      <c r="A259" s="6">
        <v>43967</v>
      </c>
      <c r="B259" s="5" t="s">
        <v>13</v>
      </c>
      <c r="C259" s="5">
        <v>19</v>
      </c>
      <c r="D259" s="5">
        <v>2080</v>
      </c>
      <c r="E259" s="5">
        <v>1844</v>
      </c>
    </row>
    <row r="260" spans="1:5" ht="14.25" hidden="1" customHeight="1" x14ac:dyDescent="0.3">
      <c r="A260" s="6">
        <v>43967</v>
      </c>
      <c r="B260" s="5" t="s">
        <v>23</v>
      </c>
      <c r="C260" s="5">
        <v>16</v>
      </c>
      <c r="D260" s="5">
        <v>920</v>
      </c>
      <c r="E260" s="5">
        <v>818</v>
      </c>
    </row>
    <row r="261" spans="1:5" ht="14.25" hidden="1" customHeight="1" x14ac:dyDescent="0.3">
      <c r="A261" s="6">
        <v>43967</v>
      </c>
      <c r="B261" s="5" t="s">
        <v>18</v>
      </c>
      <c r="C261" s="5">
        <v>15</v>
      </c>
      <c r="D261" s="5">
        <v>1111</v>
      </c>
      <c r="E261" s="5">
        <v>992</v>
      </c>
    </row>
    <row r="262" spans="1:5" ht="14.25" hidden="1" customHeight="1" x14ac:dyDescent="0.3">
      <c r="A262" s="6">
        <v>43967</v>
      </c>
      <c r="B262" s="5" t="s">
        <v>19</v>
      </c>
      <c r="C262" s="5">
        <v>15</v>
      </c>
      <c r="D262" s="5">
        <v>747</v>
      </c>
      <c r="E262" s="5">
        <v>647</v>
      </c>
    </row>
    <row r="263" spans="1:5" ht="14.25" hidden="1" customHeight="1" x14ac:dyDescent="0.3">
      <c r="A263" s="6">
        <v>43967</v>
      </c>
      <c r="B263" s="5" t="s">
        <v>15</v>
      </c>
      <c r="C263" s="5">
        <v>125</v>
      </c>
      <c r="D263" s="5">
        <v>22291</v>
      </c>
      <c r="E263" s="5">
        <v>20635</v>
      </c>
    </row>
    <row r="264" spans="1:5" ht="14.25" hidden="1" customHeight="1" x14ac:dyDescent="0.3">
      <c r="A264" s="6">
        <v>43967</v>
      </c>
      <c r="B264" s="5" t="s">
        <v>14</v>
      </c>
      <c r="C264" s="5">
        <v>129</v>
      </c>
      <c r="D264" s="5">
        <v>17914</v>
      </c>
      <c r="E264" s="5">
        <v>16631</v>
      </c>
    </row>
    <row r="265" spans="1:5" ht="14.25" hidden="1" customHeight="1" x14ac:dyDescent="0.3">
      <c r="A265" s="6">
        <v>43967</v>
      </c>
      <c r="B265" s="5" t="s">
        <v>12</v>
      </c>
      <c r="C265" s="5">
        <v>10</v>
      </c>
      <c r="D265" s="5">
        <v>760</v>
      </c>
      <c r="E265" s="5">
        <v>672</v>
      </c>
    </row>
    <row r="266" spans="1:5" ht="14.25" hidden="1" customHeight="1" x14ac:dyDescent="0.3">
      <c r="A266" s="6">
        <v>43968</v>
      </c>
      <c r="B266" s="5" t="s">
        <v>16</v>
      </c>
      <c r="C266" s="5">
        <v>36</v>
      </c>
      <c r="D266" s="5">
        <v>4918</v>
      </c>
      <c r="E266" s="5">
        <v>4554</v>
      </c>
    </row>
    <row r="267" spans="1:5" ht="14.25" hidden="1" customHeight="1" x14ac:dyDescent="0.3">
      <c r="A267" s="6">
        <v>43968</v>
      </c>
      <c r="B267" s="5" t="s">
        <v>11</v>
      </c>
      <c r="C267" s="5">
        <v>31</v>
      </c>
      <c r="D267" s="5">
        <v>5206</v>
      </c>
      <c r="E267" s="5">
        <v>4843</v>
      </c>
    </row>
    <row r="268" spans="1:5" ht="14.25" hidden="1" customHeight="1" x14ac:dyDescent="0.3">
      <c r="A268" s="6">
        <v>43968</v>
      </c>
      <c r="B268" s="5" t="s">
        <v>17</v>
      </c>
      <c r="C268" s="5">
        <v>21</v>
      </c>
      <c r="D268" s="5">
        <v>2054</v>
      </c>
      <c r="E268" s="5">
        <v>1883</v>
      </c>
    </row>
    <row r="269" spans="1:5" ht="14.25" hidden="1" customHeight="1" x14ac:dyDescent="0.3">
      <c r="A269" s="6">
        <v>43968</v>
      </c>
      <c r="B269" s="5" t="s">
        <v>10</v>
      </c>
      <c r="C269" s="5">
        <v>21</v>
      </c>
      <c r="D269" s="5">
        <v>1874</v>
      </c>
      <c r="E269" s="5">
        <v>1705</v>
      </c>
    </row>
    <row r="270" spans="1:5" ht="14.25" hidden="1" customHeight="1" x14ac:dyDescent="0.3">
      <c r="A270" s="6">
        <v>43968</v>
      </c>
      <c r="B270" s="5" t="s">
        <v>20</v>
      </c>
      <c r="C270" s="5">
        <v>19</v>
      </c>
      <c r="D270" s="5">
        <v>1790</v>
      </c>
      <c r="E270" s="5">
        <v>1633</v>
      </c>
    </row>
    <row r="271" spans="1:5" ht="14.25" hidden="1" customHeight="1" x14ac:dyDescent="0.3">
      <c r="A271" s="6">
        <v>43968</v>
      </c>
      <c r="B271" s="5" t="s">
        <v>22</v>
      </c>
      <c r="C271" s="5">
        <v>54</v>
      </c>
      <c r="D271" s="5">
        <v>11128</v>
      </c>
      <c r="E271" s="5">
        <v>10467</v>
      </c>
    </row>
    <row r="272" spans="1:5" ht="14.25" hidden="1" customHeight="1" x14ac:dyDescent="0.3">
      <c r="A272" s="6">
        <v>43968</v>
      </c>
      <c r="B272" s="5" t="s">
        <v>21</v>
      </c>
      <c r="C272" s="5">
        <v>60</v>
      </c>
      <c r="D272" s="5">
        <v>11698</v>
      </c>
      <c r="E272" s="5">
        <v>10989</v>
      </c>
    </row>
    <row r="273" spans="1:5" ht="14.25" hidden="1" customHeight="1" x14ac:dyDescent="0.3">
      <c r="A273" s="6">
        <v>43968</v>
      </c>
      <c r="B273" s="5" t="s">
        <v>13</v>
      </c>
      <c r="C273" s="5">
        <v>19</v>
      </c>
      <c r="D273" s="5">
        <v>1871</v>
      </c>
      <c r="E273" s="5">
        <v>1660</v>
      </c>
    </row>
    <row r="274" spans="1:5" ht="14.25" hidden="1" customHeight="1" x14ac:dyDescent="0.3">
      <c r="A274" s="6">
        <v>43968</v>
      </c>
      <c r="B274" s="5" t="s">
        <v>23</v>
      </c>
      <c r="C274" s="5">
        <v>16</v>
      </c>
      <c r="D274" s="5">
        <v>859</v>
      </c>
      <c r="E274" s="5">
        <v>746</v>
      </c>
    </row>
    <row r="275" spans="1:5" ht="14.25" hidden="1" customHeight="1" x14ac:dyDescent="0.3">
      <c r="A275" s="6">
        <v>43968</v>
      </c>
      <c r="B275" s="5" t="s">
        <v>18</v>
      </c>
      <c r="C275" s="5">
        <v>15</v>
      </c>
      <c r="D275" s="5">
        <v>971</v>
      </c>
      <c r="E275" s="5">
        <v>856</v>
      </c>
    </row>
    <row r="276" spans="1:5" ht="14.25" hidden="1" customHeight="1" x14ac:dyDescent="0.3">
      <c r="A276" s="6">
        <v>43968</v>
      </c>
      <c r="B276" s="5" t="s">
        <v>19</v>
      </c>
      <c r="C276" s="5">
        <v>15</v>
      </c>
      <c r="D276" s="5">
        <v>692</v>
      </c>
      <c r="E276" s="5">
        <v>591</v>
      </c>
    </row>
    <row r="277" spans="1:5" ht="14.25" hidden="1" customHeight="1" x14ac:dyDescent="0.3">
      <c r="A277" s="6">
        <v>43968</v>
      </c>
      <c r="B277" s="5" t="s">
        <v>15</v>
      </c>
      <c r="C277" s="5">
        <v>125</v>
      </c>
      <c r="D277" s="5">
        <v>20079</v>
      </c>
      <c r="E277" s="5">
        <v>18721</v>
      </c>
    </row>
    <row r="278" spans="1:5" ht="14.25" hidden="1" customHeight="1" x14ac:dyDescent="0.3">
      <c r="A278" s="6">
        <v>43968</v>
      </c>
      <c r="B278" s="5" t="s">
        <v>14</v>
      </c>
      <c r="C278" s="5">
        <v>129</v>
      </c>
      <c r="D278" s="5">
        <v>15744</v>
      </c>
      <c r="E278" s="5">
        <v>14685</v>
      </c>
    </row>
    <row r="279" spans="1:5" ht="14.25" hidden="1" customHeight="1" x14ac:dyDescent="0.3">
      <c r="A279" s="6">
        <v>43968</v>
      </c>
      <c r="B279" s="5" t="s">
        <v>12</v>
      </c>
      <c r="C279" s="5">
        <v>10</v>
      </c>
      <c r="D279" s="5">
        <v>591</v>
      </c>
      <c r="E279" s="5">
        <v>513</v>
      </c>
    </row>
    <row r="280" spans="1:5" ht="14.25" hidden="1" customHeight="1" x14ac:dyDescent="0.3">
      <c r="A280" s="6">
        <v>43969</v>
      </c>
      <c r="B280" s="5" t="s">
        <v>16</v>
      </c>
      <c r="C280" s="5">
        <v>36</v>
      </c>
      <c r="D280" s="5">
        <v>4885</v>
      </c>
      <c r="E280" s="5">
        <v>4502</v>
      </c>
    </row>
    <row r="281" spans="1:5" ht="14.25" hidden="1" customHeight="1" x14ac:dyDescent="0.3">
      <c r="A281" s="6">
        <v>43969</v>
      </c>
      <c r="B281" s="5" t="s">
        <v>11</v>
      </c>
      <c r="C281" s="5">
        <v>31</v>
      </c>
      <c r="D281" s="5">
        <v>5165</v>
      </c>
      <c r="E281" s="5">
        <v>4813</v>
      </c>
    </row>
    <row r="282" spans="1:5" ht="14.25" hidden="1" customHeight="1" x14ac:dyDescent="0.3">
      <c r="A282" s="6">
        <v>43969</v>
      </c>
      <c r="B282" s="5" t="s">
        <v>17</v>
      </c>
      <c r="C282" s="5">
        <v>21</v>
      </c>
      <c r="D282" s="5">
        <v>2136</v>
      </c>
      <c r="E282" s="5">
        <v>1947</v>
      </c>
    </row>
    <row r="283" spans="1:5" ht="14.25" hidden="1" customHeight="1" x14ac:dyDescent="0.3">
      <c r="A283" s="6">
        <v>43969</v>
      </c>
      <c r="B283" s="5" t="s">
        <v>10</v>
      </c>
      <c r="C283" s="5">
        <v>21</v>
      </c>
      <c r="D283" s="5">
        <v>1834</v>
      </c>
      <c r="E283" s="5">
        <v>1660</v>
      </c>
    </row>
    <row r="284" spans="1:5" ht="14.25" hidden="1" customHeight="1" x14ac:dyDescent="0.3">
      <c r="A284" s="6">
        <v>43969</v>
      </c>
      <c r="B284" s="5" t="s">
        <v>20</v>
      </c>
      <c r="C284" s="5">
        <v>19</v>
      </c>
      <c r="D284" s="5">
        <v>1741</v>
      </c>
      <c r="E284" s="5">
        <v>1597</v>
      </c>
    </row>
    <row r="285" spans="1:5" ht="14.25" hidden="1" customHeight="1" x14ac:dyDescent="0.3">
      <c r="A285" s="6">
        <v>43969</v>
      </c>
      <c r="B285" s="5" t="s">
        <v>22</v>
      </c>
      <c r="C285" s="5">
        <v>54</v>
      </c>
      <c r="D285" s="5">
        <v>12012</v>
      </c>
      <c r="E285" s="5">
        <v>11308</v>
      </c>
    </row>
    <row r="286" spans="1:5" ht="14.25" hidden="1" customHeight="1" x14ac:dyDescent="0.3">
      <c r="A286" s="6">
        <v>43969</v>
      </c>
      <c r="B286" s="5" t="s">
        <v>21</v>
      </c>
      <c r="C286" s="5">
        <v>60</v>
      </c>
      <c r="D286" s="5">
        <v>12460</v>
      </c>
      <c r="E286" s="5">
        <v>11665</v>
      </c>
    </row>
    <row r="287" spans="1:5" ht="14.25" hidden="1" customHeight="1" x14ac:dyDescent="0.3">
      <c r="A287" s="6">
        <v>43969</v>
      </c>
      <c r="B287" s="5" t="s">
        <v>13</v>
      </c>
      <c r="C287" s="5">
        <v>19</v>
      </c>
      <c r="D287" s="5">
        <v>1858</v>
      </c>
      <c r="E287" s="5">
        <v>1648</v>
      </c>
    </row>
    <row r="288" spans="1:5" ht="14.25" hidden="1" customHeight="1" x14ac:dyDescent="0.3">
      <c r="A288" s="6">
        <v>43969</v>
      </c>
      <c r="B288" s="5" t="s">
        <v>23</v>
      </c>
      <c r="C288" s="5">
        <v>16</v>
      </c>
      <c r="D288" s="5">
        <v>864</v>
      </c>
      <c r="E288" s="5">
        <v>765</v>
      </c>
    </row>
    <row r="289" spans="1:5" ht="14.25" hidden="1" customHeight="1" x14ac:dyDescent="0.3">
      <c r="A289" s="6">
        <v>43969</v>
      </c>
      <c r="B289" s="5" t="s">
        <v>18</v>
      </c>
      <c r="C289" s="5">
        <v>16</v>
      </c>
      <c r="D289" s="5">
        <v>925</v>
      </c>
      <c r="E289" s="5">
        <v>816</v>
      </c>
    </row>
    <row r="290" spans="1:5" ht="14.25" hidden="1" customHeight="1" x14ac:dyDescent="0.3">
      <c r="A290" s="6">
        <v>43969</v>
      </c>
      <c r="B290" s="5" t="s">
        <v>19</v>
      </c>
      <c r="C290" s="5">
        <v>15</v>
      </c>
      <c r="D290" s="5">
        <v>729</v>
      </c>
      <c r="E290" s="5">
        <v>636</v>
      </c>
    </row>
    <row r="291" spans="1:5" ht="14.25" hidden="1" customHeight="1" x14ac:dyDescent="0.3">
      <c r="A291" s="6">
        <v>43969</v>
      </c>
      <c r="B291" s="5" t="s">
        <v>15</v>
      </c>
      <c r="C291" s="5">
        <v>125</v>
      </c>
      <c r="D291" s="5">
        <v>20449</v>
      </c>
      <c r="E291" s="5">
        <v>19060</v>
      </c>
    </row>
    <row r="292" spans="1:5" ht="14.25" hidden="1" customHeight="1" x14ac:dyDescent="0.3">
      <c r="A292" s="6">
        <v>43969</v>
      </c>
      <c r="B292" s="5" t="s">
        <v>14</v>
      </c>
      <c r="C292" s="5">
        <v>129</v>
      </c>
      <c r="D292" s="5">
        <v>16110</v>
      </c>
      <c r="E292" s="5">
        <v>14992</v>
      </c>
    </row>
    <row r="293" spans="1:5" ht="14.25" hidden="1" customHeight="1" x14ac:dyDescent="0.3">
      <c r="A293" s="6">
        <v>43969</v>
      </c>
      <c r="B293" s="5" t="s">
        <v>12</v>
      </c>
      <c r="C293" s="5">
        <v>10</v>
      </c>
      <c r="D293" s="5">
        <v>645</v>
      </c>
      <c r="E293" s="5">
        <v>565</v>
      </c>
    </row>
    <row r="294" spans="1:5" ht="14.25" hidden="1" customHeight="1" x14ac:dyDescent="0.3">
      <c r="A294" s="6">
        <v>43970</v>
      </c>
      <c r="B294" s="5" t="s">
        <v>16</v>
      </c>
      <c r="C294" s="5">
        <v>36</v>
      </c>
      <c r="D294" s="5">
        <v>5094</v>
      </c>
      <c r="E294" s="5">
        <v>4716</v>
      </c>
    </row>
    <row r="295" spans="1:5" ht="14.25" hidden="1" customHeight="1" x14ac:dyDescent="0.3">
      <c r="A295" s="6">
        <v>43970</v>
      </c>
      <c r="B295" s="5" t="s">
        <v>11</v>
      </c>
      <c r="C295" s="5">
        <v>31</v>
      </c>
      <c r="D295" s="5">
        <v>5389</v>
      </c>
      <c r="E295" s="5">
        <v>5024</v>
      </c>
    </row>
    <row r="296" spans="1:5" ht="14.25" hidden="1" customHeight="1" x14ac:dyDescent="0.3">
      <c r="A296" s="6">
        <v>43970</v>
      </c>
      <c r="B296" s="5" t="s">
        <v>17</v>
      </c>
      <c r="C296" s="5">
        <v>21</v>
      </c>
      <c r="D296" s="5">
        <v>2245</v>
      </c>
      <c r="E296" s="5">
        <v>2053</v>
      </c>
    </row>
    <row r="297" spans="1:5" ht="14.25" hidden="1" customHeight="1" x14ac:dyDescent="0.3">
      <c r="A297" s="6">
        <v>43970</v>
      </c>
      <c r="B297" s="5" t="s">
        <v>10</v>
      </c>
      <c r="C297" s="5">
        <v>21</v>
      </c>
      <c r="D297" s="5">
        <v>1860</v>
      </c>
      <c r="E297" s="5">
        <v>1704</v>
      </c>
    </row>
    <row r="298" spans="1:5" ht="14.25" hidden="1" customHeight="1" x14ac:dyDescent="0.3">
      <c r="A298" s="6">
        <v>43970</v>
      </c>
      <c r="B298" s="5" t="s">
        <v>20</v>
      </c>
      <c r="C298" s="5">
        <v>19</v>
      </c>
      <c r="D298" s="5">
        <v>1831</v>
      </c>
      <c r="E298" s="5">
        <v>1667</v>
      </c>
    </row>
    <row r="299" spans="1:5" ht="14.25" hidden="1" customHeight="1" x14ac:dyDescent="0.3">
      <c r="A299" s="6">
        <v>43970</v>
      </c>
      <c r="B299" s="5" t="s">
        <v>22</v>
      </c>
      <c r="C299" s="5">
        <v>54</v>
      </c>
      <c r="D299" s="5">
        <v>13070</v>
      </c>
      <c r="E299" s="5">
        <v>12244</v>
      </c>
    </row>
    <row r="300" spans="1:5" ht="14.25" hidden="1" customHeight="1" x14ac:dyDescent="0.3">
      <c r="A300" s="6">
        <v>43970</v>
      </c>
      <c r="B300" s="5" t="s">
        <v>21</v>
      </c>
      <c r="C300" s="5">
        <v>60</v>
      </c>
      <c r="D300" s="5">
        <v>13867</v>
      </c>
      <c r="E300" s="5">
        <v>12987</v>
      </c>
    </row>
    <row r="301" spans="1:5" ht="14.25" hidden="1" customHeight="1" x14ac:dyDescent="0.3">
      <c r="A301" s="6">
        <v>43970</v>
      </c>
      <c r="B301" s="5" t="s">
        <v>13</v>
      </c>
      <c r="C301" s="5">
        <v>19</v>
      </c>
      <c r="D301" s="5">
        <v>1999</v>
      </c>
      <c r="E301" s="5">
        <v>1799</v>
      </c>
    </row>
    <row r="302" spans="1:5" ht="14.25" hidden="1" customHeight="1" x14ac:dyDescent="0.3">
      <c r="A302" s="6">
        <v>43970</v>
      </c>
      <c r="B302" s="5" t="s">
        <v>23</v>
      </c>
      <c r="C302" s="5">
        <v>17</v>
      </c>
      <c r="D302" s="5">
        <v>857</v>
      </c>
      <c r="E302" s="5">
        <v>757</v>
      </c>
    </row>
    <row r="303" spans="1:5" ht="14.25" hidden="1" customHeight="1" x14ac:dyDescent="0.3">
      <c r="A303" s="6">
        <v>43970</v>
      </c>
      <c r="B303" s="5" t="s">
        <v>18</v>
      </c>
      <c r="C303" s="5">
        <v>16</v>
      </c>
      <c r="D303" s="5">
        <v>1012</v>
      </c>
      <c r="E303" s="5">
        <v>900</v>
      </c>
    </row>
    <row r="304" spans="1:5" ht="14.25" hidden="1" customHeight="1" x14ac:dyDescent="0.3">
      <c r="A304" s="6">
        <v>43970</v>
      </c>
      <c r="B304" s="5" t="s">
        <v>19</v>
      </c>
      <c r="C304" s="5">
        <v>15</v>
      </c>
      <c r="D304" s="5">
        <v>930</v>
      </c>
      <c r="E304" s="5">
        <v>827</v>
      </c>
    </row>
    <row r="305" spans="1:5" ht="14.25" hidden="1" customHeight="1" x14ac:dyDescent="0.3">
      <c r="A305" s="6">
        <v>43970</v>
      </c>
      <c r="B305" s="5" t="s">
        <v>15</v>
      </c>
      <c r="C305" s="5">
        <v>125</v>
      </c>
      <c r="D305" s="5">
        <v>20771</v>
      </c>
      <c r="E305" s="5">
        <v>19338</v>
      </c>
    </row>
    <row r="306" spans="1:5" ht="14.25" hidden="1" customHeight="1" x14ac:dyDescent="0.3">
      <c r="A306" s="6">
        <v>43970</v>
      </c>
      <c r="B306" s="5" t="s">
        <v>14</v>
      </c>
      <c r="C306" s="5">
        <v>129</v>
      </c>
      <c r="D306" s="5">
        <v>16191</v>
      </c>
      <c r="E306" s="5">
        <v>15102</v>
      </c>
    </row>
    <row r="307" spans="1:5" ht="14.25" hidden="1" customHeight="1" x14ac:dyDescent="0.3">
      <c r="A307" s="6">
        <v>43970</v>
      </c>
      <c r="B307" s="5" t="s">
        <v>12</v>
      </c>
      <c r="C307" s="5">
        <v>10</v>
      </c>
      <c r="D307" s="5">
        <v>649</v>
      </c>
      <c r="E307" s="5">
        <v>568</v>
      </c>
    </row>
    <row r="308" spans="1:5" ht="14.25" hidden="1" customHeight="1" x14ac:dyDescent="0.3">
      <c r="A308" s="6">
        <v>43971</v>
      </c>
      <c r="B308" s="5" t="s">
        <v>16</v>
      </c>
      <c r="C308" s="5">
        <v>36</v>
      </c>
      <c r="D308" s="5">
        <v>5914</v>
      </c>
      <c r="E308" s="5">
        <v>5384</v>
      </c>
    </row>
    <row r="309" spans="1:5" ht="14.25" hidden="1" customHeight="1" x14ac:dyDescent="0.3">
      <c r="A309" s="6">
        <v>43971</v>
      </c>
      <c r="B309" s="5" t="s">
        <v>11</v>
      </c>
      <c r="C309" s="5">
        <v>31</v>
      </c>
      <c r="D309" s="5">
        <v>5698</v>
      </c>
      <c r="E309" s="5">
        <v>5258</v>
      </c>
    </row>
    <row r="310" spans="1:5" ht="14.25" hidden="1" customHeight="1" x14ac:dyDescent="0.3">
      <c r="A310" s="6">
        <v>43971</v>
      </c>
      <c r="B310" s="5" t="s">
        <v>17</v>
      </c>
      <c r="C310" s="5">
        <v>21</v>
      </c>
      <c r="D310" s="5">
        <v>2410</v>
      </c>
      <c r="E310" s="5">
        <v>2202</v>
      </c>
    </row>
    <row r="311" spans="1:5" ht="14.25" hidden="1" customHeight="1" x14ac:dyDescent="0.3">
      <c r="A311" s="6">
        <v>43971</v>
      </c>
      <c r="B311" s="5" t="s">
        <v>10</v>
      </c>
      <c r="C311" s="5">
        <v>21</v>
      </c>
      <c r="D311" s="5">
        <v>1921</v>
      </c>
      <c r="E311" s="5">
        <v>1767</v>
      </c>
    </row>
    <row r="312" spans="1:5" ht="14.25" hidden="1" customHeight="1" x14ac:dyDescent="0.3">
      <c r="A312" s="6">
        <v>43971</v>
      </c>
      <c r="B312" s="5" t="s">
        <v>20</v>
      </c>
      <c r="C312" s="5">
        <v>19</v>
      </c>
      <c r="D312" s="5">
        <v>1823</v>
      </c>
      <c r="E312" s="5">
        <v>1678</v>
      </c>
    </row>
    <row r="313" spans="1:5" ht="14.25" hidden="1" customHeight="1" x14ac:dyDescent="0.3">
      <c r="A313" s="6">
        <v>43971</v>
      </c>
      <c r="B313" s="5" t="s">
        <v>22</v>
      </c>
      <c r="C313" s="5">
        <v>54</v>
      </c>
      <c r="D313" s="5">
        <v>13298</v>
      </c>
      <c r="E313" s="5">
        <v>12428</v>
      </c>
    </row>
    <row r="314" spans="1:5" ht="14.25" hidden="1" customHeight="1" x14ac:dyDescent="0.3">
      <c r="A314" s="6">
        <v>43971</v>
      </c>
      <c r="B314" s="5" t="s">
        <v>21</v>
      </c>
      <c r="C314" s="5">
        <v>60</v>
      </c>
      <c r="D314" s="5">
        <v>13792</v>
      </c>
      <c r="E314" s="5">
        <v>12834</v>
      </c>
    </row>
    <row r="315" spans="1:5" ht="14.25" hidden="1" customHeight="1" x14ac:dyDescent="0.3">
      <c r="A315" s="6">
        <v>43971</v>
      </c>
      <c r="B315" s="5" t="s">
        <v>13</v>
      </c>
      <c r="C315" s="5">
        <v>19</v>
      </c>
      <c r="D315" s="5">
        <v>1889</v>
      </c>
      <c r="E315" s="5">
        <v>1690</v>
      </c>
    </row>
    <row r="316" spans="1:5" ht="14.25" hidden="1" customHeight="1" x14ac:dyDescent="0.3">
      <c r="A316" s="6">
        <v>43971</v>
      </c>
      <c r="B316" s="5" t="s">
        <v>23</v>
      </c>
      <c r="C316" s="5">
        <v>17</v>
      </c>
      <c r="D316" s="5">
        <v>890</v>
      </c>
      <c r="E316" s="5">
        <v>794</v>
      </c>
    </row>
    <row r="317" spans="1:5" ht="14.25" hidden="1" customHeight="1" x14ac:dyDescent="0.3">
      <c r="A317" s="6">
        <v>43971</v>
      </c>
      <c r="B317" s="5" t="s">
        <v>18</v>
      </c>
      <c r="C317" s="5">
        <v>16</v>
      </c>
      <c r="D317" s="5">
        <v>1050</v>
      </c>
      <c r="E317" s="5">
        <v>938</v>
      </c>
    </row>
    <row r="318" spans="1:5" ht="14.25" hidden="1" customHeight="1" x14ac:dyDescent="0.3">
      <c r="A318" s="6">
        <v>43971</v>
      </c>
      <c r="B318" s="5" t="s">
        <v>19</v>
      </c>
      <c r="C318" s="5">
        <v>15</v>
      </c>
      <c r="D318" s="5">
        <v>760</v>
      </c>
      <c r="E318" s="5">
        <v>664</v>
      </c>
    </row>
    <row r="319" spans="1:5" ht="14.25" hidden="1" customHeight="1" x14ac:dyDescent="0.3">
      <c r="A319" s="6">
        <v>43971</v>
      </c>
      <c r="B319" s="5" t="s">
        <v>15</v>
      </c>
      <c r="C319" s="5">
        <v>125</v>
      </c>
      <c r="D319" s="5">
        <v>21674</v>
      </c>
      <c r="E319" s="5">
        <v>20155</v>
      </c>
    </row>
    <row r="320" spans="1:5" ht="14.25" hidden="1" customHeight="1" x14ac:dyDescent="0.3">
      <c r="A320" s="6">
        <v>43971</v>
      </c>
      <c r="B320" s="5" t="s">
        <v>14</v>
      </c>
      <c r="C320" s="5">
        <v>129</v>
      </c>
      <c r="D320" s="5">
        <v>17095</v>
      </c>
      <c r="E320" s="5">
        <v>15919</v>
      </c>
    </row>
    <row r="321" spans="1:5" ht="14.25" hidden="1" customHeight="1" x14ac:dyDescent="0.3">
      <c r="A321" s="6">
        <v>43971</v>
      </c>
      <c r="B321" s="5" t="s">
        <v>12</v>
      </c>
      <c r="C321" s="5">
        <v>10</v>
      </c>
      <c r="D321" s="5">
        <v>745</v>
      </c>
      <c r="E321" s="5">
        <v>654</v>
      </c>
    </row>
    <row r="322" spans="1:5" ht="14.25" hidden="1" customHeight="1" x14ac:dyDescent="0.3">
      <c r="A322" s="6">
        <v>43972</v>
      </c>
      <c r="B322" s="5" t="s">
        <v>16</v>
      </c>
      <c r="C322" s="5">
        <v>36</v>
      </c>
      <c r="D322" s="5">
        <v>4816</v>
      </c>
      <c r="E322" s="5">
        <v>4452</v>
      </c>
    </row>
    <row r="323" spans="1:5" ht="14.25" hidden="1" customHeight="1" x14ac:dyDescent="0.3">
      <c r="A323" s="6">
        <v>43972</v>
      </c>
      <c r="B323" s="5" t="s">
        <v>11</v>
      </c>
      <c r="C323" s="5">
        <v>31</v>
      </c>
      <c r="D323" s="5">
        <v>5207</v>
      </c>
      <c r="E323" s="5">
        <v>4868</v>
      </c>
    </row>
    <row r="324" spans="1:5" ht="14.25" hidden="1" customHeight="1" x14ac:dyDescent="0.3">
      <c r="A324" s="6">
        <v>43972</v>
      </c>
      <c r="B324" s="5" t="s">
        <v>17</v>
      </c>
      <c r="C324" s="5">
        <v>21</v>
      </c>
      <c r="D324" s="5">
        <v>2335</v>
      </c>
      <c r="E324" s="5">
        <v>2126</v>
      </c>
    </row>
    <row r="325" spans="1:5" ht="14.25" hidden="1" customHeight="1" x14ac:dyDescent="0.3">
      <c r="A325" s="6">
        <v>43972</v>
      </c>
      <c r="B325" s="5" t="s">
        <v>10</v>
      </c>
      <c r="C325" s="5">
        <v>21</v>
      </c>
      <c r="D325" s="5">
        <v>1787</v>
      </c>
      <c r="E325" s="5">
        <v>1626</v>
      </c>
    </row>
    <row r="326" spans="1:5" ht="14.25" hidden="1" customHeight="1" x14ac:dyDescent="0.3">
      <c r="A326" s="6">
        <v>43972</v>
      </c>
      <c r="B326" s="5" t="s">
        <v>20</v>
      </c>
      <c r="C326" s="5">
        <v>19</v>
      </c>
      <c r="D326" s="5">
        <v>1650</v>
      </c>
      <c r="E326" s="5">
        <v>1505</v>
      </c>
    </row>
    <row r="327" spans="1:5" ht="14.25" hidden="1" customHeight="1" x14ac:dyDescent="0.3">
      <c r="A327" s="6">
        <v>43972</v>
      </c>
      <c r="B327" s="5" t="s">
        <v>22</v>
      </c>
      <c r="C327" s="5">
        <v>54</v>
      </c>
      <c r="D327" s="5">
        <v>13240</v>
      </c>
      <c r="E327" s="5">
        <v>12360</v>
      </c>
    </row>
    <row r="328" spans="1:5" ht="14.25" hidden="1" customHeight="1" x14ac:dyDescent="0.3">
      <c r="A328" s="6">
        <v>43972</v>
      </c>
      <c r="B328" s="5" t="s">
        <v>21</v>
      </c>
      <c r="C328" s="5">
        <v>60</v>
      </c>
      <c r="D328" s="5">
        <v>14005</v>
      </c>
      <c r="E328" s="5">
        <v>13002</v>
      </c>
    </row>
    <row r="329" spans="1:5" ht="14.25" hidden="1" customHeight="1" x14ac:dyDescent="0.3">
      <c r="A329" s="6">
        <v>43972</v>
      </c>
      <c r="B329" s="5" t="s">
        <v>13</v>
      </c>
      <c r="C329" s="5">
        <v>19</v>
      </c>
      <c r="D329" s="5">
        <v>1949</v>
      </c>
      <c r="E329" s="5">
        <v>1724</v>
      </c>
    </row>
    <row r="330" spans="1:5" ht="14.25" hidden="1" customHeight="1" x14ac:dyDescent="0.3">
      <c r="A330" s="6">
        <v>43972</v>
      </c>
      <c r="B330" s="5" t="s">
        <v>23</v>
      </c>
      <c r="C330" s="5">
        <v>18</v>
      </c>
      <c r="D330" s="5">
        <v>888</v>
      </c>
      <c r="E330" s="5">
        <v>786</v>
      </c>
    </row>
    <row r="331" spans="1:5" ht="14.25" hidden="1" customHeight="1" x14ac:dyDescent="0.3">
      <c r="A331" s="6">
        <v>43972</v>
      </c>
      <c r="B331" s="5" t="s">
        <v>18</v>
      </c>
      <c r="C331" s="5">
        <v>17</v>
      </c>
      <c r="D331" s="5">
        <v>1045</v>
      </c>
      <c r="E331" s="5">
        <v>930</v>
      </c>
    </row>
    <row r="332" spans="1:5" ht="14.25" hidden="1" customHeight="1" x14ac:dyDescent="0.3">
      <c r="A332" s="6">
        <v>43972</v>
      </c>
      <c r="B332" s="5" t="s">
        <v>19</v>
      </c>
      <c r="C332" s="5">
        <v>15</v>
      </c>
      <c r="D332" s="5">
        <v>749</v>
      </c>
      <c r="E332" s="5">
        <v>652</v>
      </c>
    </row>
    <row r="333" spans="1:5" ht="14.25" hidden="1" customHeight="1" x14ac:dyDescent="0.3">
      <c r="A333" s="6">
        <v>43972</v>
      </c>
      <c r="B333" s="5" t="s">
        <v>15</v>
      </c>
      <c r="C333" s="5">
        <v>125</v>
      </c>
      <c r="D333" s="5">
        <v>20911</v>
      </c>
      <c r="E333" s="5">
        <v>19358</v>
      </c>
    </row>
    <row r="334" spans="1:5" ht="14.25" hidden="1" customHeight="1" x14ac:dyDescent="0.3">
      <c r="A334" s="6">
        <v>43972</v>
      </c>
      <c r="B334" s="5" t="s">
        <v>14</v>
      </c>
      <c r="C334" s="5">
        <v>129</v>
      </c>
      <c r="D334" s="5">
        <v>16373</v>
      </c>
      <c r="E334" s="5">
        <v>15223</v>
      </c>
    </row>
    <row r="335" spans="1:5" ht="14.25" hidden="1" customHeight="1" x14ac:dyDescent="0.3">
      <c r="A335" s="6">
        <v>43972</v>
      </c>
      <c r="B335" s="5" t="s">
        <v>12</v>
      </c>
      <c r="C335" s="5">
        <v>10</v>
      </c>
      <c r="D335" s="5">
        <v>677</v>
      </c>
      <c r="E335" s="5">
        <v>591</v>
      </c>
    </row>
    <row r="336" spans="1:5" ht="14.25" hidden="1" customHeight="1" x14ac:dyDescent="0.3">
      <c r="A336" s="6">
        <v>43973</v>
      </c>
      <c r="B336" s="5" t="s">
        <v>16</v>
      </c>
      <c r="C336" s="5">
        <v>36</v>
      </c>
      <c r="D336" s="5">
        <v>4857</v>
      </c>
      <c r="E336" s="5">
        <v>4456</v>
      </c>
    </row>
    <row r="337" spans="1:5" ht="14.25" hidden="1" customHeight="1" x14ac:dyDescent="0.3">
      <c r="A337" s="6">
        <v>43973</v>
      </c>
      <c r="B337" s="5" t="s">
        <v>11</v>
      </c>
      <c r="C337" s="5">
        <v>31</v>
      </c>
      <c r="D337" s="5">
        <v>5965</v>
      </c>
      <c r="E337" s="5">
        <v>5533</v>
      </c>
    </row>
    <row r="338" spans="1:5" ht="14.25" hidden="1" customHeight="1" x14ac:dyDescent="0.3">
      <c r="A338" s="6">
        <v>43973</v>
      </c>
      <c r="B338" s="5" t="s">
        <v>17</v>
      </c>
      <c r="C338" s="5">
        <v>21</v>
      </c>
      <c r="D338" s="5">
        <v>2861</v>
      </c>
      <c r="E338" s="5">
        <v>2612</v>
      </c>
    </row>
    <row r="339" spans="1:5" ht="14.25" hidden="1" customHeight="1" x14ac:dyDescent="0.3">
      <c r="A339" s="6">
        <v>43973</v>
      </c>
      <c r="B339" s="5" t="s">
        <v>10</v>
      </c>
      <c r="C339" s="5">
        <v>21</v>
      </c>
      <c r="D339" s="5">
        <v>2046</v>
      </c>
      <c r="E339" s="5">
        <v>1853</v>
      </c>
    </row>
    <row r="340" spans="1:5" ht="14.25" hidden="1" customHeight="1" x14ac:dyDescent="0.3">
      <c r="A340" s="6">
        <v>43973</v>
      </c>
      <c r="B340" s="5" t="s">
        <v>20</v>
      </c>
      <c r="C340" s="5">
        <v>19</v>
      </c>
      <c r="D340" s="5">
        <v>1859</v>
      </c>
      <c r="E340" s="5">
        <v>1697</v>
      </c>
    </row>
    <row r="341" spans="1:5" ht="14.25" hidden="1" customHeight="1" x14ac:dyDescent="0.3">
      <c r="A341" s="6">
        <v>43973</v>
      </c>
      <c r="B341" s="5" t="s">
        <v>22</v>
      </c>
      <c r="C341" s="5">
        <v>54</v>
      </c>
      <c r="D341" s="5">
        <v>13014</v>
      </c>
      <c r="E341" s="5">
        <v>12095</v>
      </c>
    </row>
    <row r="342" spans="1:5" ht="14.25" hidden="1" customHeight="1" x14ac:dyDescent="0.3">
      <c r="A342" s="6">
        <v>43973</v>
      </c>
      <c r="B342" s="5" t="s">
        <v>21</v>
      </c>
      <c r="C342" s="5">
        <v>60</v>
      </c>
      <c r="D342" s="5">
        <v>14050</v>
      </c>
      <c r="E342" s="5">
        <v>13027</v>
      </c>
    </row>
    <row r="343" spans="1:5" ht="14.25" hidden="1" customHeight="1" x14ac:dyDescent="0.3">
      <c r="A343" s="6">
        <v>43973</v>
      </c>
      <c r="B343" s="5" t="s">
        <v>13</v>
      </c>
      <c r="C343" s="5">
        <v>20</v>
      </c>
      <c r="D343" s="5">
        <v>2306</v>
      </c>
      <c r="E343" s="5">
        <v>2054</v>
      </c>
    </row>
    <row r="344" spans="1:5" ht="14.25" hidden="1" customHeight="1" x14ac:dyDescent="0.3">
      <c r="A344" s="6">
        <v>43973</v>
      </c>
      <c r="B344" s="5" t="s">
        <v>23</v>
      </c>
      <c r="C344" s="5">
        <v>18</v>
      </c>
      <c r="D344" s="5">
        <v>985</v>
      </c>
      <c r="E344" s="5">
        <v>861</v>
      </c>
    </row>
    <row r="345" spans="1:5" ht="14.25" hidden="1" customHeight="1" x14ac:dyDescent="0.3">
      <c r="A345" s="6">
        <v>43973</v>
      </c>
      <c r="B345" s="5" t="s">
        <v>18</v>
      </c>
      <c r="C345" s="5">
        <v>17</v>
      </c>
      <c r="D345" s="5">
        <v>1268</v>
      </c>
      <c r="E345" s="5">
        <v>1129</v>
      </c>
    </row>
    <row r="346" spans="1:5" ht="14.25" hidden="1" customHeight="1" x14ac:dyDescent="0.3">
      <c r="A346" s="6">
        <v>43973</v>
      </c>
      <c r="B346" s="5" t="s">
        <v>19</v>
      </c>
      <c r="C346" s="5">
        <v>15</v>
      </c>
      <c r="D346" s="5">
        <v>903</v>
      </c>
      <c r="E346" s="5">
        <v>792</v>
      </c>
    </row>
    <row r="347" spans="1:5" ht="14.25" hidden="1" customHeight="1" x14ac:dyDescent="0.3">
      <c r="A347" s="6">
        <v>43973</v>
      </c>
      <c r="B347" s="5" t="s">
        <v>15</v>
      </c>
      <c r="C347" s="5">
        <v>125</v>
      </c>
      <c r="D347" s="5">
        <v>21427</v>
      </c>
      <c r="E347" s="5">
        <v>19799</v>
      </c>
    </row>
    <row r="348" spans="1:5" ht="14.25" hidden="1" customHeight="1" x14ac:dyDescent="0.3">
      <c r="A348" s="6">
        <v>43973</v>
      </c>
      <c r="B348" s="5" t="s">
        <v>14</v>
      </c>
      <c r="C348" s="5">
        <v>129</v>
      </c>
      <c r="D348" s="5">
        <v>17088</v>
      </c>
      <c r="E348" s="5">
        <v>15804</v>
      </c>
    </row>
    <row r="349" spans="1:5" ht="14.25" hidden="1" customHeight="1" x14ac:dyDescent="0.3">
      <c r="A349" s="6">
        <v>43973</v>
      </c>
      <c r="B349" s="5" t="s">
        <v>12</v>
      </c>
      <c r="C349" s="5">
        <v>10</v>
      </c>
      <c r="D349" s="5">
        <v>965</v>
      </c>
      <c r="E349" s="5">
        <v>861</v>
      </c>
    </row>
    <row r="350" spans="1:5" ht="14.25" hidden="1" customHeight="1" x14ac:dyDescent="0.3">
      <c r="A350" s="6">
        <v>43974</v>
      </c>
      <c r="B350" s="5" t="s">
        <v>16</v>
      </c>
      <c r="C350" s="5">
        <v>36</v>
      </c>
      <c r="D350" s="5">
        <v>5651</v>
      </c>
      <c r="E350" s="5">
        <v>5212</v>
      </c>
    </row>
    <row r="351" spans="1:5" ht="14.25" hidden="1" customHeight="1" x14ac:dyDescent="0.3">
      <c r="A351" s="6">
        <v>43974</v>
      </c>
      <c r="B351" s="5" t="s">
        <v>11</v>
      </c>
      <c r="C351" s="5">
        <v>31</v>
      </c>
      <c r="D351" s="5">
        <v>6276</v>
      </c>
      <c r="E351" s="5">
        <v>5801</v>
      </c>
    </row>
    <row r="352" spans="1:5" ht="14.25" hidden="1" customHeight="1" x14ac:dyDescent="0.3">
      <c r="A352" s="6">
        <v>43974</v>
      </c>
      <c r="B352" s="5" t="s">
        <v>17</v>
      </c>
      <c r="C352" s="5">
        <v>21</v>
      </c>
      <c r="D352" s="5">
        <v>2460</v>
      </c>
      <c r="E352" s="5">
        <v>2226</v>
      </c>
    </row>
    <row r="353" spans="1:5" ht="14.25" hidden="1" customHeight="1" x14ac:dyDescent="0.3">
      <c r="A353" s="6">
        <v>43974</v>
      </c>
      <c r="B353" s="5" t="s">
        <v>10</v>
      </c>
      <c r="C353" s="5">
        <v>21</v>
      </c>
      <c r="D353" s="5">
        <v>2340</v>
      </c>
      <c r="E353" s="5">
        <v>2146</v>
      </c>
    </row>
    <row r="354" spans="1:5" ht="14.25" hidden="1" customHeight="1" x14ac:dyDescent="0.3">
      <c r="A354" s="6">
        <v>43974</v>
      </c>
      <c r="B354" s="5" t="s">
        <v>20</v>
      </c>
      <c r="C354" s="5">
        <v>19</v>
      </c>
      <c r="D354" s="5">
        <v>2195</v>
      </c>
      <c r="E354" s="5">
        <v>1999</v>
      </c>
    </row>
    <row r="355" spans="1:5" ht="14.25" hidden="1" customHeight="1" x14ac:dyDescent="0.3">
      <c r="A355" s="6">
        <v>43974</v>
      </c>
      <c r="B355" s="5" t="s">
        <v>22</v>
      </c>
      <c r="C355" s="5">
        <v>54</v>
      </c>
      <c r="D355" s="5">
        <v>16221</v>
      </c>
      <c r="E355" s="5">
        <v>15065</v>
      </c>
    </row>
    <row r="356" spans="1:5" ht="14.25" hidden="1" customHeight="1" x14ac:dyDescent="0.3">
      <c r="A356" s="6">
        <v>43974</v>
      </c>
      <c r="B356" s="5" t="s">
        <v>21</v>
      </c>
      <c r="C356" s="5">
        <v>60</v>
      </c>
      <c r="D356" s="5">
        <v>17295</v>
      </c>
      <c r="E356" s="5">
        <v>16010</v>
      </c>
    </row>
    <row r="357" spans="1:5" ht="14.25" hidden="1" customHeight="1" x14ac:dyDescent="0.3">
      <c r="A357" s="6">
        <v>43974</v>
      </c>
      <c r="B357" s="5" t="s">
        <v>13</v>
      </c>
      <c r="C357" s="5">
        <v>20</v>
      </c>
      <c r="D357" s="5">
        <v>2266</v>
      </c>
      <c r="E357" s="5">
        <v>1993</v>
      </c>
    </row>
    <row r="358" spans="1:5" ht="14.25" hidden="1" customHeight="1" x14ac:dyDescent="0.3">
      <c r="A358" s="6">
        <v>43974</v>
      </c>
      <c r="B358" s="5" t="s">
        <v>23</v>
      </c>
      <c r="C358" s="5">
        <v>18</v>
      </c>
      <c r="D358" s="5">
        <v>1031</v>
      </c>
      <c r="E358" s="5">
        <v>918</v>
      </c>
    </row>
    <row r="359" spans="1:5" ht="14.25" hidden="1" customHeight="1" x14ac:dyDescent="0.3">
      <c r="A359" s="6">
        <v>43974</v>
      </c>
      <c r="B359" s="5" t="s">
        <v>18</v>
      </c>
      <c r="C359" s="5">
        <v>17</v>
      </c>
      <c r="D359" s="5">
        <v>1294</v>
      </c>
      <c r="E359" s="5">
        <v>1155</v>
      </c>
    </row>
    <row r="360" spans="1:5" ht="14.25" hidden="1" customHeight="1" x14ac:dyDescent="0.3">
      <c r="A360" s="6">
        <v>43974</v>
      </c>
      <c r="B360" s="5" t="s">
        <v>19</v>
      </c>
      <c r="C360" s="5">
        <v>15</v>
      </c>
      <c r="D360" s="5">
        <v>840</v>
      </c>
      <c r="E360" s="5">
        <v>725</v>
      </c>
    </row>
    <row r="361" spans="1:5" ht="14.25" hidden="1" customHeight="1" x14ac:dyDescent="0.3">
      <c r="A361" s="6">
        <v>43974</v>
      </c>
      <c r="B361" s="5" t="s">
        <v>15</v>
      </c>
      <c r="C361" s="5">
        <v>125</v>
      </c>
      <c r="D361" s="5">
        <v>24574</v>
      </c>
      <c r="E361" s="5">
        <v>22609</v>
      </c>
    </row>
    <row r="362" spans="1:5" ht="14.25" hidden="1" customHeight="1" x14ac:dyDescent="0.3">
      <c r="A362" s="6">
        <v>43974</v>
      </c>
      <c r="B362" s="5" t="s">
        <v>14</v>
      </c>
      <c r="C362" s="5">
        <v>129</v>
      </c>
      <c r="D362" s="5">
        <v>19856</v>
      </c>
      <c r="E362" s="5">
        <v>18325</v>
      </c>
    </row>
    <row r="363" spans="1:5" ht="14.25" hidden="1" customHeight="1" x14ac:dyDescent="0.3">
      <c r="A363" s="6">
        <v>43974</v>
      </c>
      <c r="B363" s="5" t="s">
        <v>12</v>
      </c>
      <c r="C363" s="5">
        <v>10</v>
      </c>
      <c r="D363" s="5">
        <v>828</v>
      </c>
      <c r="E363" s="5">
        <v>734</v>
      </c>
    </row>
    <row r="364" spans="1:5" ht="14.25" hidden="1" customHeight="1" x14ac:dyDescent="0.3">
      <c r="A364" s="6">
        <v>43975</v>
      </c>
      <c r="B364" s="5" t="s">
        <v>16</v>
      </c>
      <c r="C364" s="5">
        <v>36</v>
      </c>
      <c r="D364" s="5">
        <v>4915</v>
      </c>
      <c r="E364" s="5">
        <v>4562</v>
      </c>
    </row>
    <row r="365" spans="1:5" ht="14.25" hidden="1" customHeight="1" x14ac:dyDescent="0.3">
      <c r="A365" s="6">
        <v>43975</v>
      </c>
      <c r="B365" s="5" t="s">
        <v>11</v>
      </c>
      <c r="C365" s="5">
        <v>31</v>
      </c>
      <c r="D365" s="5">
        <v>5035</v>
      </c>
      <c r="E365" s="5">
        <v>4683</v>
      </c>
    </row>
    <row r="366" spans="1:5" ht="14.25" hidden="1" customHeight="1" x14ac:dyDescent="0.3">
      <c r="A366" s="6">
        <v>43975</v>
      </c>
      <c r="B366" s="5" t="s">
        <v>17</v>
      </c>
      <c r="C366" s="5">
        <v>21</v>
      </c>
      <c r="D366" s="5">
        <v>2254</v>
      </c>
      <c r="E366" s="5">
        <v>2061</v>
      </c>
    </row>
    <row r="367" spans="1:5" ht="14.25" hidden="1" customHeight="1" x14ac:dyDescent="0.3">
      <c r="A367" s="6">
        <v>43975</v>
      </c>
      <c r="B367" s="5" t="s">
        <v>10</v>
      </c>
      <c r="C367" s="5">
        <v>20</v>
      </c>
      <c r="D367" s="5">
        <v>1999</v>
      </c>
      <c r="E367" s="5">
        <v>1829</v>
      </c>
    </row>
    <row r="368" spans="1:5" ht="14.25" hidden="1" customHeight="1" x14ac:dyDescent="0.3">
      <c r="A368" s="6">
        <v>43975</v>
      </c>
      <c r="B368" s="5" t="s">
        <v>20</v>
      </c>
      <c r="C368" s="5">
        <v>19</v>
      </c>
      <c r="D368" s="5">
        <v>1868</v>
      </c>
      <c r="E368" s="5">
        <v>1706</v>
      </c>
    </row>
    <row r="369" spans="1:5" ht="14.25" hidden="1" customHeight="1" x14ac:dyDescent="0.3">
      <c r="A369" s="6">
        <v>43975</v>
      </c>
      <c r="B369" s="5" t="s">
        <v>22</v>
      </c>
      <c r="C369" s="5">
        <v>54</v>
      </c>
      <c r="D369" s="5">
        <v>12211</v>
      </c>
      <c r="E369" s="5">
        <v>11427</v>
      </c>
    </row>
    <row r="370" spans="1:5" ht="14.25" hidden="1" customHeight="1" x14ac:dyDescent="0.3">
      <c r="A370" s="6">
        <v>43975</v>
      </c>
      <c r="B370" s="5" t="s">
        <v>21</v>
      </c>
      <c r="C370" s="5">
        <v>60</v>
      </c>
      <c r="D370" s="5">
        <v>12822</v>
      </c>
      <c r="E370" s="5">
        <v>11916</v>
      </c>
    </row>
    <row r="371" spans="1:5" ht="14.25" hidden="1" customHeight="1" x14ac:dyDescent="0.3">
      <c r="A371" s="6">
        <v>43975</v>
      </c>
      <c r="B371" s="5" t="s">
        <v>13</v>
      </c>
      <c r="C371" s="5">
        <v>20</v>
      </c>
      <c r="D371" s="5">
        <v>2015</v>
      </c>
      <c r="E371" s="5">
        <v>1803</v>
      </c>
    </row>
    <row r="372" spans="1:5" ht="14.25" hidden="1" customHeight="1" x14ac:dyDescent="0.3">
      <c r="A372" s="6">
        <v>43975</v>
      </c>
      <c r="B372" s="5" t="s">
        <v>23</v>
      </c>
      <c r="C372" s="5">
        <v>18</v>
      </c>
      <c r="D372" s="5">
        <v>1006</v>
      </c>
      <c r="E372" s="5">
        <v>904</v>
      </c>
    </row>
    <row r="373" spans="1:5" ht="14.25" hidden="1" customHeight="1" x14ac:dyDescent="0.3">
      <c r="A373" s="6">
        <v>43975</v>
      </c>
      <c r="B373" s="5" t="s">
        <v>18</v>
      </c>
      <c r="C373" s="5">
        <v>17</v>
      </c>
      <c r="D373" s="5">
        <v>1128</v>
      </c>
      <c r="E373" s="5">
        <v>1001</v>
      </c>
    </row>
    <row r="374" spans="1:5" ht="14.25" hidden="1" customHeight="1" x14ac:dyDescent="0.3">
      <c r="A374" s="6">
        <v>43975</v>
      </c>
      <c r="B374" s="5" t="s">
        <v>19</v>
      </c>
      <c r="C374" s="5">
        <v>15</v>
      </c>
      <c r="D374" s="5">
        <v>779</v>
      </c>
      <c r="E374" s="5">
        <v>673</v>
      </c>
    </row>
    <row r="375" spans="1:5" ht="14.25" hidden="1" customHeight="1" x14ac:dyDescent="0.3">
      <c r="A375" s="6">
        <v>43975</v>
      </c>
      <c r="B375" s="5" t="s">
        <v>15</v>
      </c>
      <c r="C375" s="5">
        <v>125</v>
      </c>
      <c r="D375" s="5">
        <v>21004</v>
      </c>
      <c r="E375" s="5">
        <v>19556</v>
      </c>
    </row>
    <row r="376" spans="1:5" ht="14.25" hidden="1" customHeight="1" x14ac:dyDescent="0.3">
      <c r="A376" s="6">
        <v>43975</v>
      </c>
      <c r="B376" s="5" t="s">
        <v>14</v>
      </c>
      <c r="C376" s="5">
        <v>129</v>
      </c>
      <c r="D376" s="5">
        <v>16432</v>
      </c>
      <c r="E376" s="5">
        <v>15345</v>
      </c>
    </row>
    <row r="377" spans="1:5" ht="14.25" hidden="1" customHeight="1" x14ac:dyDescent="0.3">
      <c r="A377" s="6">
        <v>43975</v>
      </c>
      <c r="B377" s="5" t="s">
        <v>12</v>
      </c>
      <c r="C377" s="5">
        <v>10</v>
      </c>
      <c r="D377" s="5">
        <v>639</v>
      </c>
      <c r="E377" s="5">
        <v>557</v>
      </c>
    </row>
    <row r="378" spans="1:5" ht="14.25" hidden="1" customHeight="1" x14ac:dyDescent="0.3">
      <c r="A378" s="6">
        <v>43976</v>
      </c>
      <c r="B378" s="5" t="s">
        <v>16</v>
      </c>
      <c r="C378" s="5">
        <v>36</v>
      </c>
      <c r="D378" s="5">
        <v>4641</v>
      </c>
      <c r="E378" s="5">
        <v>4274</v>
      </c>
    </row>
    <row r="379" spans="1:5" ht="14.25" hidden="1" customHeight="1" x14ac:dyDescent="0.3">
      <c r="A379" s="6">
        <v>43976</v>
      </c>
      <c r="B379" s="5" t="s">
        <v>11</v>
      </c>
      <c r="C379" s="5">
        <v>31</v>
      </c>
      <c r="D379" s="5">
        <v>5210</v>
      </c>
      <c r="E379" s="5">
        <v>4841</v>
      </c>
    </row>
    <row r="380" spans="1:5" ht="14.25" hidden="1" customHeight="1" x14ac:dyDescent="0.3">
      <c r="A380" s="6">
        <v>43976</v>
      </c>
      <c r="B380" s="5" t="s">
        <v>17</v>
      </c>
      <c r="C380" s="5">
        <v>21</v>
      </c>
      <c r="D380" s="5">
        <v>2330</v>
      </c>
      <c r="E380" s="5">
        <v>2142</v>
      </c>
    </row>
    <row r="381" spans="1:5" ht="14.25" hidden="1" customHeight="1" x14ac:dyDescent="0.3">
      <c r="A381" s="6">
        <v>43976</v>
      </c>
      <c r="B381" s="5" t="s">
        <v>10</v>
      </c>
      <c r="C381" s="5">
        <v>20</v>
      </c>
      <c r="D381" s="5">
        <v>2087</v>
      </c>
      <c r="E381" s="5">
        <v>1914</v>
      </c>
    </row>
    <row r="382" spans="1:5" ht="14.25" hidden="1" customHeight="1" x14ac:dyDescent="0.3">
      <c r="A382" s="6">
        <v>43976</v>
      </c>
      <c r="B382" s="5" t="s">
        <v>20</v>
      </c>
      <c r="C382" s="5">
        <v>20</v>
      </c>
      <c r="D382" s="5">
        <v>1899</v>
      </c>
      <c r="E382" s="5">
        <v>1738</v>
      </c>
    </row>
    <row r="383" spans="1:5" ht="14.25" hidden="1" customHeight="1" x14ac:dyDescent="0.3">
      <c r="A383" s="6">
        <v>43976</v>
      </c>
      <c r="B383" s="5" t="s">
        <v>22</v>
      </c>
      <c r="C383" s="5">
        <v>54</v>
      </c>
      <c r="D383" s="5">
        <v>12336</v>
      </c>
      <c r="E383" s="5">
        <v>11519</v>
      </c>
    </row>
    <row r="384" spans="1:5" ht="14.25" hidden="1" customHeight="1" x14ac:dyDescent="0.3">
      <c r="A384" s="6">
        <v>43976</v>
      </c>
      <c r="B384" s="5" t="s">
        <v>21</v>
      </c>
      <c r="C384" s="5">
        <v>59</v>
      </c>
      <c r="D384" s="5">
        <v>12983</v>
      </c>
      <c r="E384" s="5">
        <v>12056</v>
      </c>
    </row>
    <row r="385" spans="1:5" ht="14.25" hidden="1" customHeight="1" x14ac:dyDescent="0.3">
      <c r="A385" s="6">
        <v>43976</v>
      </c>
      <c r="B385" s="5" t="s">
        <v>13</v>
      </c>
      <c r="C385" s="5">
        <v>20</v>
      </c>
      <c r="D385" s="5">
        <v>2011</v>
      </c>
      <c r="E385" s="5">
        <v>1791</v>
      </c>
    </row>
    <row r="386" spans="1:5" ht="14.25" hidden="1" customHeight="1" x14ac:dyDescent="0.3">
      <c r="A386" s="6">
        <v>43976</v>
      </c>
      <c r="B386" s="5" t="s">
        <v>23</v>
      </c>
      <c r="C386" s="5">
        <v>18</v>
      </c>
      <c r="D386" s="5">
        <v>989</v>
      </c>
      <c r="E386" s="5">
        <v>887</v>
      </c>
    </row>
    <row r="387" spans="1:5" ht="14.25" hidden="1" customHeight="1" x14ac:dyDescent="0.3">
      <c r="A387" s="6">
        <v>43976</v>
      </c>
      <c r="B387" s="5" t="s">
        <v>18</v>
      </c>
      <c r="C387" s="5">
        <v>17</v>
      </c>
      <c r="D387" s="5">
        <v>1142</v>
      </c>
      <c r="E387" s="5">
        <v>1020</v>
      </c>
    </row>
    <row r="388" spans="1:5" ht="14.25" hidden="1" customHeight="1" x14ac:dyDescent="0.3">
      <c r="A388" s="6">
        <v>43976</v>
      </c>
      <c r="B388" s="5" t="s">
        <v>19</v>
      </c>
      <c r="C388" s="5">
        <v>15</v>
      </c>
      <c r="D388" s="5">
        <v>835</v>
      </c>
      <c r="E388" s="5">
        <v>736</v>
      </c>
    </row>
    <row r="389" spans="1:5" ht="14.25" hidden="1" customHeight="1" x14ac:dyDescent="0.3">
      <c r="A389" s="6">
        <v>43976</v>
      </c>
      <c r="B389" s="5" t="s">
        <v>15</v>
      </c>
      <c r="C389" s="5">
        <v>124</v>
      </c>
      <c r="D389" s="5">
        <v>20358</v>
      </c>
      <c r="E389" s="5">
        <v>18890</v>
      </c>
    </row>
    <row r="390" spans="1:5" ht="14.25" hidden="1" customHeight="1" x14ac:dyDescent="0.3">
      <c r="A390" s="6">
        <v>43976</v>
      </c>
      <c r="B390" s="5" t="s">
        <v>14</v>
      </c>
      <c r="C390" s="5">
        <v>129</v>
      </c>
      <c r="D390" s="5">
        <v>15822</v>
      </c>
      <c r="E390" s="5">
        <v>14753</v>
      </c>
    </row>
    <row r="391" spans="1:5" ht="14.25" hidden="1" customHeight="1" x14ac:dyDescent="0.3">
      <c r="A391" s="6">
        <v>43976</v>
      </c>
      <c r="B391" s="5" t="s">
        <v>12</v>
      </c>
      <c r="C391" s="5">
        <v>10</v>
      </c>
      <c r="D391" s="5">
        <v>739</v>
      </c>
      <c r="E391" s="5">
        <v>642</v>
      </c>
    </row>
    <row r="392" spans="1:5" ht="14.25" hidden="1" customHeight="1" x14ac:dyDescent="0.3">
      <c r="A392" s="6">
        <v>43977</v>
      </c>
      <c r="B392" s="5" t="s">
        <v>16</v>
      </c>
      <c r="C392" s="5">
        <v>36</v>
      </c>
      <c r="D392" s="5">
        <v>4770</v>
      </c>
      <c r="E392" s="5">
        <v>4424</v>
      </c>
    </row>
    <row r="393" spans="1:5" ht="14.25" hidden="1" customHeight="1" x14ac:dyDescent="0.3">
      <c r="A393" s="6">
        <v>43977</v>
      </c>
      <c r="B393" s="5" t="s">
        <v>11</v>
      </c>
      <c r="C393" s="5">
        <v>31</v>
      </c>
      <c r="D393" s="5">
        <v>5493</v>
      </c>
      <c r="E393" s="5">
        <v>5119</v>
      </c>
    </row>
    <row r="394" spans="1:5" ht="14.25" hidden="1" customHeight="1" x14ac:dyDescent="0.3">
      <c r="A394" s="6">
        <v>43977</v>
      </c>
      <c r="B394" s="5" t="s">
        <v>17</v>
      </c>
      <c r="C394" s="5">
        <v>21</v>
      </c>
      <c r="D394" s="5">
        <v>2418</v>
      </c>
      <c r="E394" s="5">
        <v>2215</v>
      </c>
    </row>
    <row r="395" spans="1:5" ht="14.25" hidden="1" customHeight="1" x14ac:dyDescent="0.3">
      <c r="A395" s="6">
        <v>43977</v>
      </c>
      <c r="B395" s="5" t="s">
        <v>10</v>
      </c>
      <c r="C395" s="5">
        <v>20</v>
      </c>
      <c r="D395" s="5">
        <v>2044</v>
      </c>
      <c r="E395" s="5">
        <v>1863</v>
      </c>
    </row>
    <row r="396" spans="1:5" ht="14.25" hidden="1" customHeight="1" x14ac:dyDescent="0.3">
      <c r="A396" s="6">
        <v>43977</v>
      </c>
      <c r="B396" s="5" t="s">
        <v>20</v>
      </c>
      <c r="C396" s="5">
        <v>20</v>
      </c>
      <c r="D396" s="5">
        <v>1814</v>
      </c>
      <c r="E396" s="5">
        <v>1655</v>
      </c>
    </row>
    <row r="397" spans="1:5" ht="14.25" hidden="1" customHeight="1" x14ac:dyDescent="0.3">
      <c r="A397" s="6">
        <v>43977</v>
      </c>
      <c r="B397" s="5" t="s">
        <v>22</v>
      </c>
      <c r="C397" s="5">
        <v>54</v>
      </c>
      <c r="D397" s="5">
        <v>14482</v>
      </c>
      <c r="E397" s="5">
        <v>13510</v>
      </c>
    </row>
    <row r="398" spans="1:5" ht="14.25" hidden="1" customHeight="1" x14ac:dyDescent="0.3">
      <c r="A398" s="6">
        <v>43977</v>
      </c>
      <c r="B398" s="5" t="s">
        <v>21</v>
      </c>
      <c r="C398" s="5">
        <v>59</v>
      </c>
      <c r="D398" s="5">
        <v>15369</v>
      </c>
      <c r="E398" s="5">
        <v>14299</v>
      </c>
    </row>
    <row r="399" spans="1:5" ht="14.25" hidden="1" customHeight="1" x14ac:dyDescent="0.3">
      <c r="A399" s="6">
        <v>43977</v>
      </c>
      <c r="B399" s="5" t="s">
        <v>13</v>
      </c>
      <c r="C399" s="5">
        <v>20</v>
      </c>
      <c r="D399" s="5">
        <v>2036</v>
      </c>
      <c r="E399" s="5">
        <v>1790</v>
      </c>
    </row>
    <row r="400" spans="1:5" ht="14.25" hidden="1" customHeight="1" x14ac:dyDescent="0.3">
      <c r="A400" s="6">
        <v>43977</v>
      </c>
      <c r="B400" s="5" t="s">
        <v>23</v>
      </c>
      <c r="C400" s="5">
        <v>18</v>
      </c>
      <c r="D400" s="5">
        <v>914</v>
      </c>
      <c r="E400" s="5">
        <v>804</v>
      </c>
    </row>
    <row r="401" spans="1:5" ht="14.25" hidden="1" customHeight="1" x14ac:dyDescent="0.3">
      <c r="A401" s="6">
        <v>43977</v>
      </c>
      <c r="B401" s="5" t="s">
        <v>18</v>
      </c>
      <c r="C401" s="5">
        <v>17</v>
      </c>
      <c r="D401" s="5">
        <v>1140</v>
      </c>
      <c r="E401" s="5">
        <v>1016</v>
      </c>
    </row>
    <row r="402" spans="1:5" ht="14.25" hidden="1" customHeight="1" x14ac:dyDescent="0.3">
      <c r="A402" s="6">
        <v>43977</v>
      </c>
      <c r="B402" s="5" t="s">
        <v>19</v>
      </c>
      <c r="C402" s="5">
        <v>15</v>
      </c>
      <c r="D402" s="5">
        <v>812</v>
      </c>
      <c r="E402" s="5">
        <v>711</v>
      </c>
    </row>
    <row r="403" spans="1:5" ht="14.25" hidden="1" customHeight="1" x14ac:dyDescent="0.3">
      <c r="A403" s="6">
        <v>43977</v>
      </c>
      <c r="B403" s="5" t="s">
        <v>15</v>
      </c>
      <c r="C403" s="5">
        <v>124</v>
      </c>
      <c r="D403" s="5">
        <v>21153</v>
      </c>
      <c r="E403" s="5">
        <v>19673</v>
      </c>
    </row>
    <row r="404" spans="1:5" ht="14.25" hidden="1" customHeight="1" x14ac:dyDescent="0.3">
      <c r="A404" s="6">
        <v>43977</v>
      </c>
      <c r="B404" s="5" t="s">
        <v>14</v>
      </c>
      <c r="C404" s="5">
        <v>129</v>
      </c>
      <c r="D404" s="5">
        <v>16459</v>
      </c>
      <c r="E404" s="5">
        <v>15355</v>
      </c>
    </row>
    <row r="405" spans="1:5" ht="14.25" hidden="1" customHeight="1" x14ac:dyDescent="0.3">
      <c r="A405" s="6">
        <v>43977</v>
      </c>
      <c r="B405" s="5" t="s">
        <v>12</v>
      </c>
      <c r="C405" s="5">
        <v>10</v>
      </c>
      <c r="D405" s="5">
        <v>692</v>
      </c>
      <c r="E405" s="5">
        <v>601</v>
      </c>
    </row>
    <row r="406" spans="1:5" ht="14.25" hidden="1" customHeight="1" x14ac:dyDescent="0.3">
      <c r="A406" s="6">
        <v>43977</v>
      </c>
      <c r="B406" s="5" t="s">
        <v>24</v>
      </c>
      <c r="C406" s="5">
        <v>7</v>
      </c>
      <c r="D406" s="5">
        <v>577</v>
      </c>
      <c r="E406" s="5">
        <v>389</v>
      </c>
    </row>
    <row r="407" spans="1:5" ht="14.25" hidden="1" customHeight="1" x14ac:dyDescent="0.3">
      <c r="A407" s="6">
        <v>43978</v>
      </c>
      <c r="B407" s="5" t="s">
        <v>16</v>
      </c>
      <c r="C407" s="5">
        <v>36</v>
      </c>
      <c r="D407" s="5">
        <v>4951</v>
      </c>
      <c r="E407" s="5">
        <v>4584</v>
      </c>
    </row>
    <row r="408" spans="1:5" ht="14.25" hidden="1" customHeight="1" x14ac:dyDescent="0.3">
      <c r="A408" s="6">
        <v>43978</v>
      </c>
      <c r="B408" s="5" t="s">
        <v>11</v>
      </c>
      <c r="C408" s="5">
        <v>31</v>
      </c>
      <c r="D408" s="5">
        <v>5330</v>
      </c>
      <c r="E408" s="5">
        <v>4977</v>
      </c>
    </row>
    <row r="409" spans="1:5" ht="14.25" hidden="1" customHeight="1" x14ac:dyDescent="0.3">
      <c r="A409" s="6">
        <v>43978</v>
      </c>
      <c r="B409" s="5" t="s">
        <v>17</v>
      </c>
      <c r="C409" s="5">
        <v>21</v>
      </c>
      <c r="D409" s="5">
        <v>2430</v>
      </c>
      <c r="E409" s="5">
        <v>2216</v>
      </c>
    </row>
    <row r="410" spans="1:5" ht="14.25" hidden="1" customHeight="1" x14ac:dyDescent="0.3">
      <c r="A410" s="6">
        <v>43978</v>
      </c>
      <c r="B410" s="5" t="s">
        <v>10</v>
      </c>
      <c r="C410" s="5">
        <v>20</v>
      </c>
      <c r="D410" s="5">
        <v>2079</v>
      </c>
      <c r="E410" s="5">
        <v>1893</v>
      </c>
    </row>
    <row r="411" spans="1:5" ht="14.25" hidden="1" customHeight="1" x14ac:dyDescent="0.3">
      <c r="A411" s="6">
        <v>43978</v>
      </c>
      <c r="B411" s="5" t="s">
        <v>20</v>
      </c>
      <c r="C411" s="5">
        <v>20</v>
      </c>
      <c r="D411" s="5">
        <v>1873</v>
      </c>
      <c r="E411" s="5">
        <v>1715</v>
      </c>
    </row>
    <row r="412" spans="1:5" ht="14.25" hidden="1" customHeight="1" x14ac:dyDescent="0.3">
      <c r="A412" s="6">
        <v>43978</v>
      </c>
      <c r="B412" s="5" t="s">
        <v>22</v>
      </c>
      <c r="C412" s="5">
        <v>54</v>
      </c>
      <c r="D412" s="5">
        <v>13091</v>
      </c>
      <c r="E412" s="5">
        <v>12216</v>
      </c>
    </row>
    <row r="413" spans="1:5" ht="14.25" hidden="1" customHeight="1" x14ac:dyDescent="0.3">
      <c r="A413" s="6">
        <v>43978</v>
      </c>
      <c r="B413" s="5" t="s">
        <v>21</v>
      </c>
      <c r="C413" s="5">
        <v>59</v>
      </c>
      <c r="D413" s="5">
        <v>13942</v>
      </c>
      <c r="E413" s="5">
        <v>12986</v>
      </c>
    </row>
    <row r="414" spans="1:5" ht="14.25" hidden="1" customHeight="1" x14ac:dyDescent="0.3">
      <c r="A414" s="6">
        <v>43978</v>
      </c>
      <c r="B414" s="5" t="s">
        <v>13</v>
      </c>
      <c r="C414" s="5">
        <v>20</v>
      </c>
      <c r="D414" s="5">
        <v>2079</v>
      </c>
      <c r="E414" s="5">
        <v>1856</v>
      </c>
    </row>
    <row r="415" spans="1:5" ht="14.25" hidden="1" customHeight="1" x14ac:dyDescent="0.3">
      <c r="A415" s="6">
        <v>43978</v>
      </c>
      <c r="B415" s="5" t="s">
        <v>23</v>
      </c>
      <c r="C415" s="5">
        <v>18</v>
      </c>
      <c r="D415" s="5">
        <v>962</v>
      </c>
      <c r="E415" s="5">
        <v>859</v>
      </c>
    </row>
    <row r="416" spans="1:5" ht="14.25" hidden="1" customHeight="1" x14ac:dyDescent="0.3">
      <c r="A416" s="6">
        <v>43978</v>
      </c>
      <c r="B416" s="5" t="s">
        <v>18</v>
      </c>
      <c r="C416" s="5">
        <v>17</v>
      </c>
      <c r="D416" s="5">
        <v>1203</v>
      </c>
      <c r="E416" s="5">
        <v>1077</v>
      </c>
    </row>
    <row r="417" spans="1:5" ht="14.25" hidden="1" customHeight="1" x14ac:dyDescent="0.3">
      <c r="A417" s="6">
        <v>43978</v>
      </c>
      <c r="B417" s="5" t="s">
        <v>19</v>
      </c>
      <c r="C417" s="5">
        <v>15</v>
      </c>
      <c r="D417" s="5">
        <v>809</v>
      </c>
      <c r="E417" s="5">
        <v>702</v>
      </c>
    </row>
    <row r="418" spans="1:5" ht="14.25" hidden="1" customHeight="1" x14ac:dyDescent="0.3">
      <c r="A418" s="6">
        <v>43978</v>
      </c>
      <c r="B418" s="5" t="s">
        <v>15</v>
      </c>
      <c r="C418" s="5">
        <v>124</v>
      </c>
      <c r="D418" s="5">
        <v>21384</v>
      </c>
      <c r="E418" s="5">
        <v>19897</v>
      </c>
    </row>
    <row r="419" spans="1:5" ht="14.25" hidden="1" customHeight="1" x14ac:dyDescent="0.3">
      <c r="A419" s="6">
        <v>43978</v>
      </c>
      <c r="B419" s="5" t="s">
        <v>14</v>
      </c>
      <c r="C419" s="5">
        <v>129</v>
      </c>
      <c r="D419" s="5">
        <v>17115</v>
      </c>
      <c r="E419" s="5">
        <v>15962</v>
      </c>
    </row>
    <row r="420" spans="1:5" ht="14.25" hidden="1" customHeight="1" x14ac:dyDescent="0.3">
      <c r="A420" s="6">
        <v>43978</v>
      </c>
      <c r="B420" s="5" t="s">
        <v>12</v>
      </c>
      <c r="C420" s="5">
        <v>10</v>
      </c>
      <c r="D420" s="5">
        <v>757</v>
      </c>
      <c r="E420" s="5">
        <v>660</v>
      </c>
    </row>
    <row r="421" spans="1:5" ht="14.25" hidden="1" customHeight="1" x14ac:dyDescent="0.3">
      <c r="A421" s="6">
        <v>43978</v>
      </c>
      <c r="B421" s="5" t="s">
        <v>24</v>
      </c>
      <c r="C421" s="5">
        <v>7</v>
      </c>
      <c r="D421" s="5">
        <v>409</v>
      </c>
      <c r="E421" s="5">
        <v>329</v>
      </c>
    </row>
    <row r="422" spans="1:5" ht="14.25" hidden="1" customHeight="1" x14ac:dyDescent="0.3">
      <c r="A422" s="6">
        <v>43979</v>
      </c>
      <c r="B422" s="5" t="s">
        <v>16</v>
      </c>
      <c r="C422" s="5">
        <v>37</v>
      </c>
      <c r="D422" s="5">
        <v>4840</v>
      </c>
      <c r="E422" s="5">
        <v>4475</v>
      </c>
    </row>
    <row r="423" spans="1:5" ht="14.25" hidden="1" customHeight="1" x14ac:dyDescent="0.3">
      <c r="A423" s="6">
        <v>43979</v>
      </c>
      <c r="B423" s="5" t="s">
        <v>11</v>
      </c>
      <c r="C423" s="5">
        <v>31</v>
      </c>
      <c r="D423" s="5">
        <v>5355</v>
      </c>
      <c r="E423" s="5">
        <v>4969</v>
      </c>
    </row>
    <row r="424" spans="1:5" ht="14.25" hidden="1" customHeight="1" x14ac:dyDescent="0.3">
      <c r="A424" s="6">
        <v>43979</v>
      </c>
      <c r="B424" s="5" t="s">
        <v>17</v>
      </c>
      <c r="C424" s="5">
        <v>22</v>
      </c>
      <c r="D424" s="5">
        <v>2454</v>
      </c>
      <c r="E424" s="5">
        <v>2239</v>
      </c>
    </row>
    <row r="425" spans="1:5" ht="14.25" hidden="1" customHeight="1" x14ac:dyDescent="0.3">
      <c r="A425" s="6">
        <v>43979</v>
      </c>
      <c r="B425" s="5" t="s">
        <v>10</v>
      </c>
      <c r="C425" s="5">
        <v>20</v>
      </c>
      <c r="D425" s="5">
        <v>1886</v>
      </c>
      <c r="E425" s="5">
        <v>1736</v>
      </c>
    </row>
    <row r="426" spans="1:5" ht="14.25" hidden="1" customHeight="1" x14ac:dyDescent="0.3">
      <c r="A426" s="6">
        <v>43979</v>
      </c>
      <c r="B426" s="5" t="s">
        <v>20</v>
      </c>
      <c r="C426" s="5">
        <v>20</v>
      </c>
      <c r="D426" s="5">
        <v>1875</v>
      </c>
      <c r="E426" s="5">
        <v>1701</v>
      </c>
    </row>
    <row r="427" spans="1:5" ht="14.25" hidden="1" customHeight="1" x14ac:dyDescent="0.3">
      <c r="A427" s="6">
        <v>43979</v>
      </c>
      <c r="B427" s="5" t="s">
        <v>22</v>
      </c>
      <c r="C427" s="5">
        <v>54</v>
      </c>
      <c r="D427" s="5">
        <v>12409</v>
      </c>
      <c r="E427" s="5">
        <v>11582</v>
      </c>
    </row>
    <row r="428" spans="1:5" ht="14.25" hidden="1" customHeight="1" x14ac:dyDescent="0.3">
      <c r="A428" s="6">
        <v>43979</v>
      </c>
      <c r="B428" s="5" t="s">
        <v>21</v>
      </c>
      <c r="C428" s="5">
        <v>60</v>
      </c>
      <c r="D428" s="5">
        <v>12854</v>
      </c>
      <c r="E428" s="5">
        <v>11954</v>
      </c>
    </row>
    <row r="429" spans="1:5" ht="14.25" hidden="1" customHeight="1" x14ac:dyDescent="0.3">
      <c r="A429" s="6">
        <v>43979</v>
      </c>
      <c r="B429" s="5" t="s">
        <v>13</v>
      </c>
      <c r="C429" s="5">
        <v>20</v>
      </c>
      <c r="D429" s="5">
        <v>2088</v>
      </c>
      <c r="E429" s="5">
        <v>1848</v>
      </c>
    </row>
    <row r="430" spans="1:5" ht="14.25" hidden="1" customHeight="1" x14ac:dyDescent="0.3">
      <c r="A430" s="6">
        <v>43979</v>
      </c>
      <c r="B430" s="5" t="s">
        <v>23</v>
      </c>
      <c r="C430" s="5">
        <v>18</v>
      </c>
      <c r="D430" s="5">
        <v>1020</v>
      </c>
      <c r="E430" s="5">
        <v>911</v>
      </c>
    </row>
    <row r="431" spans="1:5" ht="14.25" hidden="1" customHeight="1" x14ac:dyDescent="0.3">
      <c r="A431" s="6">
        <v>43979</v>
      </c>
      <c r="B431" s="5" t="s">
        <v>18</v>
      </c>
      <c r="C431" s="5">
        <v>17</v>
      </c>
      <c r="D431" s="5">
        <v>1097</v>
      </c>
      <c r="E431" s="5">
        <v>968</v>
      </c>
    </row>
    <row r="432" spans="1:5" ht="14.25" hidden="1" customHeight="1" x14ac:dyDescent="0.3">
      <c r="A432" s="6">
        <v>43979</v>
      </c>
      <c r="B432" s="5" t="s">
        <v>19</v>
      </c>
      <c r="C432" s="5">
        <v>16</v>
      </c>
      <c r="D432" s="5">
        <v>876</v>
      </c>
      <c r="E432" s="5">
        <v>762</v>
      </c>
    </row>
    <row r="433" spans="1:5" ht="14.25" hidden="1" customHeight="1" x14ac:dyDescent="0.3">
      <c r="A433" s="6">
        <v>43979</v>
      </c>
      <c r="B433" s="5" t="s">
        <v>9</v>
      </c>
      <c r="C433" s="5">
        <v>15</v>
      </c>
      <c r="D433" s="5">
        <v>464</v>
      </c>
      <c r="E433" s="5">
        <v>390</v>
      </c>
    </row>
    <row r="434" spans="1:5" ht="14.25" hidden="1" customHeight="1" x14ac:dyDescent="0.3">
      <c r="A434" s="6">
        <v>43979</v>
      </c>
      <c r="B434" s="5" t="s">
        <v>15</v>
      </c>
      <c r="C434" s="5">
        <v>124</v>
      </c>
      <c r="D434" s="5">
        <v>20868</v>
      </c>
      <c r="E434" s="5">
        <v>19342</v>
      </c>
    </row>
    <row r="435" spans="1:5" ht="14.25" hidden="1" customHeight="1" x14ac:dyDescent="0.3">
      <c r="A435" s="6">
        <v>43979</v>
      </c>
      <c r="B435" s="5" t="s">
        <v>14</v>
      </c>
      <c r="C435" s="5">
        <v>129</v>
      </c>
      <c r="D435" s="5">
        <v>16453</v>
      </c>
      <c r="E435" s="5">
        <v>15289</v>
      </c>
    </row>
    <row r="436" spans="1:5" ht="14.25" hidden="1" customHeight="1" x14ac:dyDescent="0.3">
      <c r="A436" s="6">
        <v>43979</v>
      </c>
      <c r="B436" s="5" t="s">
        <v>12</v>
      </c>
      <c r="C436" s="5">
        <v>10</v>
      </c>
      <c r="D436" s="5">
        <v>791</v>
      </c>
      <c r="E436" s="5">
        <v>697</v>
      </c>
    </row>
    <row r="437" spans="1:5" ht="14.25" hidden="1" customHeight="1" x14ac:dyDescent="0.3">
      <c r="A437" s="6">
        <v>43979</v>
      </c>
      <c r="B437" s="5" t="s">
        <v>24</v>
      </c>
      <c r="C437" s="5">
        <v>7</v>
      </c>
      <c r="D437" s="5">
        <v>420</v>
      </c>
      <c r="E437" s="5">
        <v>347</v>
      </c>
    </row>
    <row r="438" spans="1:5" ht="14.25" hidden="1" customHeight="1" x14ac:dyDescent="0.3">
      <c r="A438" s="6">
        <v>43980</v>
      </c>
      <c r="B438" s="5" t="s">
        <v>16</v>
      </c>
      <c r="C438" s="5">
        <v>37</v>
      </c>
      <c r="D438" s="5">
        <v>5672</v>
      </c>
      <c r="E438" s="5">
        <v>5198</v>
      </c>
    </row>
    <row r="439" spans="1:5" ht="14.25" hidden="1" customHeight="1" x14ac:dyDescent="0.3">
      <c r="A439" s="6">
        <v>43980</v>
      </c>
      <c r="B439" s="5" t="s">
        <v>11</v>
      </c>
      <c r="C439" s="5">
        <v>31</v>
      </c>
      <c r="D439" s="5">
        <v>5751</v>
      </c>
      <c r="E439" s="5">
        <v>5319</v>
      </c>
    </row>
    <row r="440" spans="1:5" ht="14.25" hidden="1" customHeight="1" x14ac:dyDescent="0.3">
      <c r="A440" s="6">
        <v>43980</v>
      </c>
      <c r="B440" s="5" t="s">
        <v>17</v>
      </c>
      <c r="C440" s="5">
        <v>22</v>
      </c>
      <c r="D440" s="5">
        <v>2597</v>
      </c>
      <c r="E440" s="5">
        <v>2379</v>
      </c>
    </row>
    <row r="441" spans="1:5" ht="14.25" hidden="1" customHeight="1" x14ac:dyDescent="0.3">
      <c r="A441" s="6">
        <v>43980</v>
      </c>
      <c r="B441" s="5" t="s">
        <v>10</v>
      </c>
      <c r="C441" s="5">
        <v>20</v>
      </c>
      <c r="D441" s="5">
        <v>2111</v>
      </c>
      <c r="E441" s="5">
        <v>1917</v>
      </c>
    </row>
    <row r="442" spans="1:5" ht="14.25" hidden="1" customHeight="1" x14ac:dyDescent="0.3">
      <c r="A442" s="6">
        <v>43980</v>
      </c>
      <c r="B442" s="5" t="s">
        <v>20</v>
      </c>
      <c r="C442" s="5">
        <v>20</v>
      </c>
      <c r="D442" s="5">
        <v>2064</v>
      </c>
      <c r="E442" s="5">
        <v>1896</v>
      </c>
    </row>
    <row r="443" spans="1:5" ht="14.25" hidden="1" customHeight="1" x14ac:dyDescent="0.3">
      <c r="A443" s="6">
        <v>43980</v>
      </c>
      <c r="B443" s="5" t="s">
        <v>22</v>
      </c>
      <c r="C443" s="5">
        <v>54</v>
      </c>
      <c r="D443" s="5">
        <v>14031</v>
      </c>
      <c r="E443" s="5">
        <v>12943</v>
      </c>
    </row>
    <row r="444" spans="1:5" ht="14.25" hidden="1" customHeight="1" x14ac:dyDescent="0.3">
      <c r="A444" s="6">
        <v>43980</v>
      </c>
      <c r="B444" s="5" t="s">
        <v>21</v>
      </c>
      <c r="C444" s="5">
        <v>59</v>
      </c>
      <c r="D444" s="5">
        <v>14507</v>
      </c>
      <c r="E444" s="5">
        <v>13386</v>
      </c>
    </row>
    <row r="445" spans="1:5" ht="14.25" hidden="1" customHeight="1" x14ac:dyDescent="0.3">
      <c r="A445" s="6">
        <v>43980</v>
      </c>
      <c r="B445" s="5" t="s">
        <v>13</v>
      </c>
      <c r="C445" s="5">
        <v>20</v>
      </c>
      <c r="D445" s="5">
        <v>2249</v>
      </c>
      <c r="E445" s="5">
        <v>2000</v>
      </c>
    </row>
    <row r="446" spans="1:5" ht="14.25" hidden="1" customHeight="1" x14ac:dyDescent="0.3">
      <c r="A446" s="6">
        <v>43980</v>
      </c>
      <c r="B446" s="5" t="s">
        <v>23</v>
      </c>
      <c r="C446" s="5">
        <v>18</v>
      </c>
      <c r="D446" s="5">
        <v>1014</v>
      </c>
      <c r="E446" s="5">
        <v>893</v>
      </c>
    </row>
    <row r="447" spans="1:5" ht="14.25" hidden="1" customHeight="1" x14ac:dyDescent="0.3">
      <c r="A447" s="6">
        <v>43980</v>
      </c>
      <c r="B447" s="5" t="s">
        <v>18</v>
      </c>
      <c r="C447" s="5">
        <v>17</v>
      </c>
      <c r="D447" s="5">
        <v>1296</v>
      </c>
      <c r="E447" s="5">
        <v>1153</v>
      </c>
    </row>
    <row r="448" spans="1:5" ht="14.25" hidden="1" customHeight="1" x14ac:dyDescent="0.3">
      <c r="A448" s="6">
        <v>43980</v>
      </c>
      <c r="B448" s="5" t="s">
        <v>19</v>
      </c>
      <c r="C448" s="5">
        <v>16</v>
      </c>
      <c r="D448" s="5">
        <v>981</v>
      </c>
      <c r="E448" s="5">
        <v>859</v>
      </c>
    </row>
    <row r="449" spans="1:5" ht="14.25" hidden="1" customHeight="1" x14ac:dyDescent="0.3">
      <c r="A449" s="6">
        <v>43980</v>
      </c>
      <c r="B449" s="5" t="s">
        <v>9</v>
      </c>
      <c r="C449" s="5">
        <v>15</v>
      </c>
      <c r="D449" s="5">
        <v>400</v>
      </c>
      <c r="E449" s="5">
        <v>329</v>
      </c>
    </row>
    <row r="450" spans="1:5" ht="14.25" hidden="1" customHeight="1" x14ac:dyDescent="0.3">
      <c r="A450" s="6">
        <v>43980</v>
      </c>
      <c r="B450" s="5" t="s">
        <v>15</v>
      </c>
      <c r="C450" s="5">
        <v>124</v>
      </c>
      <c r="D450" s="5">
        <v>25828</v>
      </c>
      <c r="E450" s="5">
        <v>23974</v>
      </c>
    </row>
    <row r="451" spans="1:5" ht="14.25" hidden="1" customHeight="1" x14ac:dyDescent="0.3">
      <c r="A451" s="6">
        <v>43980</v>
      </c>
      <c r="B451" s="5" t="s">
        <v>14</v>
      </c>
      <c r="C451" s="5">
        <v>129</v>
      </c>
      <c r="D451" s="5">
        <v>22403</v>
      </c>
      <c r="E451" s="5">
        <v>20676</v>
      </c>
    </row>
    <row r="452" spans="1:5" ht="14.25" hidden="1" customHeight="1" x14ac:dyDescent="0.3">
      <c r="A452" s="6">
        <v>43980</v>
      </c>
      <c r="B452" s="5" t="s">
        <v>12</v>
      </c>
      <c r="C452" s="5">
        <v>10</v>
      </c>
      <c r="D452" s="5">
        <v>873</v>
      </c>
      <c r="E452" s="5">
        <v>770</v>
      </c>
    </row>
    <row r="453" spans="1:5" ht="14.25" hidden="1" customHeight="1" x14ac:dyDescent="0.3">
      <c r="A453" s="6">
        <v>43980</v>
      </c>
      <c r="B453" s="5" t="s">
        <v>24</v>
      </c>
      <c r="C453" s="5">
        <v>7</v>
      </c>
      <c r="D453" s="5">
        <v>491</v>
      </c>
      <c r="E453" s="5">
        <v>411</v>
      </c>
    </row>
    <row r="454" spans="1:5" ht="14.25" hidden="1" customHeight="1" x14ac:dyDescent="0.3">
      <c r="A454" s="6">
        <v>43981</v>
      </c>
      <c r="B454" s="5" t="s">
        <v>16</v>
      </c>
      <c r="C454" s="5">
        <v>37</v>
      </c>
      <c r="D454" s="5">
        <v>6645</v>
      </c>
      <c r="E454" s="5">
        <v>6122</v>
      </c>
    </row>
    <row r="455" spans="1:5" ht="14.25" hidden="1" customHeight="1" x14ac:dyDescent="0.3">
      <c r="A455" s="6">
        <v>43981</v>
      </c>
      <c r="B455" s="5" t="s">
        <v>11</v>
      </c>
      <c r="C455" s="5">
        <v>31</v>
      </c>
      <c r="D455" s="5">
        <v>6735</v>
      </c>
      <c r="E455" s="5">
        <v>6264</v>
      </c>
    </row>
    <row r="456" spans="1:5" ht="14.25" hidden="1" customHeight="1" x14ac:dyDescent="0.3">
      <c r="A456" s="6">
        <v>43981</v>
      </c>
      <c r="B456" s="5" t="s">
        <v>17</v>
      </c>
      <c r="C456" s="5">
        <v>22</v>
      </c>
      <c r="D456" s="5">
        <v>2793</v>
      </c>
      <c r="E456" s="5">
        <v>2539</v>
      </c>
    </row>
    <row r="457" spans="1:5" ht="14.25" hidden="1" customHeight="1" x14ac:dyDescent="0.3">
      <c r="A457" s="6">
        <v>43981</v>
      </c>
      <c r="B457" s="5" t="s">
        <v>10</v>
      </c>
      <c r="C457" s="5">
        <v>20</v>
      </c>
      <c r="D457" s="5">
        <v>2597</v>
      </c>
      <c r="E457" s="5">
        <v>2376</v>
      </c>
    </row>
    <row r="458" spans="1:5" ht="14.25" hidden="1" customHeight="1" x14ac:dyDescent="0.3">
      <c r="A458" s="6">
        <v>43981</v>
      </c>
      <c r="B458" s="5" t="s">
        <v>20</v>
      </c>
      <c r="C458" s="5">
        <v>20</v>
      </c>
      <c r="D458" s="5">
        <v>2174</v>
      </c>
      <c r="E458" s="5">
        <v>1957</v>
      </c>
    </row>
    <row r="459" spans="1:5" ht="14.25" hidden="1" customHeight="1" x14ac:dyDescent="0.3">
      <c r="A459" s="6">
        <v>43981</v>
      </c>
      <c r="B459" s="5" t="s">
        <v>22</v>
      </c>
      <c r="C459" s="5">
        <v>54</v>
      </c>
      <c r="D459" s="5">
        <v>14590</v>
      </c>
      <c r="E459" s="5">
        <v>13551</v>
      </c>
    </row>
    <row r="460" spans="1:5" ht="14.25" hidden="1" customHeight="1" x14ac:dyDescent="0.3">
      <c r="A460" s="6">
        <v>43981</v>
      </c>
      <c r="B460" s="5" t="s">
        <v>21</v>
      </c>
      <c r="C460" s="5">
        <v>59</v>
      </c>
      <c r="D460" s="5">
        <v>15030</v>
      </c>
      <c r="E460" s="5">
        <v>13956</v>
      </c>
    </row>
    <row r="461" spans="1:5" ht="14.25" hidden="1" customHeight="1" x14ac:dyDescent="0.3">
      <c r="A461" s="6">
        <v>43981</v>
      </c>
      <c r="B461" s="5" t="s">
        <v>13</v>
      </c>
      <c r="C461" s="5">
        <v>20</v>
      </c>
      <c r="D461" s="5">
        <v>2451</v>
      </c>
      <c r="E461" s="5">
        <v>2178</v>
      </c>
    </row>
    <row r="462" spans="1:5" ht="14.25" hidden="1" customHeight="1" x14ac:dyDescent="0.3">
      <c r="A462" s="6">
        <v>43981</v>
      </c>
      <c r="B462" s="5" t="s">
        <v>23</v>
      </c>
      <c r="C462" s="5">
        <v>18</v>
      </c>
      <c r="D462" s="5">
        <v>1216</v>
      </c>
      <c r="E462" s="5">
        <v>1101</v>
      </c>
    </row>
    <row r="463" spans="1:5" ht="14.25" hidden="1" customHeight="1" x14ac:dyDescent="0.3">
      <c r="A463" s="6">
        <v>43981</v>
      </c>
      <c r="B463" s="5" t="s">
        <v>18</v>
      </c>
      <c r="C463" s="5">
        <v>17</v>
      </c>
      <c r="D463" s="5">
        <v>1697</v>
      </c>
      <c r="E463" s="5">
        <v>1499</v>
      </c>
    </row>
    <row r="464" spans="1:5" ht="14.25" hidden="1" customHeight="1" x14ac:dyDescent="0.3">
      <c r="A464" s="6">
        <v>43981</v>
      </c>
      <c r="B464" s="5" t="s">
        <v>19</v>
      </c>
      <c r="C464" s="5">
        <v>16</v>
      </c>
      <c r="D464" s="5">
        <v>1048</v>
      </c>
      <c r="E464" s="5">
        <v>918</v>
      </c>
    </row>
    <row r="465" spans="1:5" ht="14.25" hidden="1" customHeight="1" x14ac:dyDescent="0.3">
      <c r="A465" s="6">
        <v>43981</v>
      </c>
      <c r="B465" s="5" t="s">
        <v>9</v>
      </c>
      <c r="C465" s="5">
        <v>15</v>
      </c>
      <c r="D465" s="5">
        <v>490</v>
      </c>
      <c r="E465" s="5">
        <v>409</v>
      </c>
    </row>
    <row r="466" spans="1:5" ht="14.25" hidden="1" customHeight="1" x14ac:dyDescent="0.3">
      <c r="A466" s="6">
        <v>43981</v>
      </c>
      <c r="B466" s="5" t="s">
        <v>15</v>
      </c>
      <c r="C466" s="5">
        <v>124</v>
      </c>
      <c r="D466" s="5">
        <v>24325</v>
      </c>
      <c r="E466" s="5">
        <v>22469</v>
      </c>
    </row>
    <row r="467" spans="1:5" ht="14.25" hidden="1" customHeight="1" x14ac:dyDescent="0.3">
      <c r="A467" s="6">
        <v>43981</v>
      </c>
      <c r="B467" s="5" t="s">
        <v>14</v>
      </c>
      <c r="C467" s="5">
        <v>129</v>
      </c>
      <c r="D467" s="5">
        <v>20243</v>
      </c>
      <c r="E467" s="5">
        <v>18711</v>
      </c>
    </row>
    <row r="468" spans="1:5" ht="14.25" hidden="1" customHeight="1" x14ac:dyDescent="0.3">
      <c r="A468" s="6">
        <v>43981</v>
      </c>
      <c r="B468" s="5" t="s">
        <v>12</v>
      </c>
      <c r="C468" s="5">
        <v>10</v>
      </c>
      <c r="D468" s="5">
        <v>865</v>
      </c>
      <c r="E468" s="5">
        <v>763</v>
      </c>
    </row>
    <row r="469" spans="1:5" ht="14.25" hidden="1" customHeight="1" x14ac:dyDescent="0.3">
      <c r="A469" s="6">
        <v>43981</v>
      </c>
      <c r="B469" s="5" t="s">
        <v>24</v>
      </c>
      <c r="C469" s="5">
        <v>7</v>
      </c>
      <c r="D469" s="5">
        <v>532</v>
      </c>
      <c r="E469" s="5">
        <v>449</v>
      </c>
    </row>
    <row r="470" spans="1:5" ht="14.25" hidden="1" customHeight="1" x14ac:dyDescent="0.3">
      <c r="A470" s="6">
        <v>43982</v>
      </c>
      <c r="B470" s="5" t="s">
        <v>16</v>
      </c>
      <c r="C470" s="5">
        <v>37</v>
      </c>
      <c r="D470" s="5">
        <v>5215</v>
      </c>
      <c r="E470" s="5">
        <v>4848</v>
      </c>
    </row>
    <row r="471" spans="1:5" ht="14.25" hidden="1" customHeight="1" x14ac:dyDescent="0.3">
      <c r="A471" s="6">
        <v>43982</v>
      </c>
      <c r="B471" s="5" t="s">
        <v>11</v>
      </c>
      <c r="C471" s="5">
        <v>31</v>
      </c>
      <c r="D471" s="5">
        <v>5760</v>
      </c>
      <c r="E471" s="5">
        <v>5367</v>
      </c>
    </row>
    <row r="472" spans="1:5" ht="14.25" hidden="1" customHeight="1" x14ac:dyDescent="0.3">
      <c r="A472" s="6">
        <v>43982</v>
      </c>
      <c r="B472" s="5" t="s">
        <v>17</v>
      </c>
      <c r="C472" s="5">
        <v>23</v>
      </c>
      <c r="D472" s="5">
        <v>2522</v>
      </c>
      <c r="E472" s="5">
        <v>2295</v>
      </c>
    </row>
    <row r="473" spans="1:5" ht="14.25" hidden="1" customHeight="1" x14ac:dyDescent="0.3">
      <c r="A473" s="6">
        <v>43982</v>
      </c>
      <c r="B473" s="5" t="s">
        <v>10</v>
      </c>
      <c r="C473" s="5">
        <v>21</v>
      </c>
      <c r="D473" s="5">
        <v>2271</v>
      </c>
      <c r="E473" s="5">
        <v>2085</v>
      </c>
    </row>
    <row r="474" spans="1:5" ht="14.25" hidden="1" customHeight="1" x14ac:dyDescent="0.3">
      <c r="A474" s="6">
        <v>43982</v>
      </c>
      <c r="B474" s="5" t="s">
        <v>20</v>
      </c>
      <c r="C474" s="5">
        <v>21</v>
      </c>
      <c r="D474" s="5">
        <v>2056</v>
      </c>
      <c r="E474" s="5">
        <v>1879</v>
      </c>
    </row>
    <row r="475" spans="1:5" ht="14.25" hidden="1" customHeight="1" x14ac:dyDescent="0.3">
      <c r="A475" s="6">
        <v>43982</v>
      </c>
      <c r="B475" s="5" t="s">
        <v>22</v>
      </c>
      <c r="C475" s="5">
        <v>54</v>
      </c>
      <c r="D475" s="5">
        <v>13106</v>
      </c>
      <c r="E475" s="5">
        <v>12164</v>
      </c>
    </row>
    <row r="476" spans="1:5" ht="14.25" hidden="1" customHeight="1" x14ac:dyDescent="0.3">
      <c r="A476" s="6">
        <v>43982</v>
      </c>
      <c r="B476" s="5" t="s">
        <v>21</v>
      </c>
      <c r="C476" s="5">
        <v>59</v>
      </c>
      <c r="D476" s="5">
        <v>13684</v>
      </c>
      <c r="E476" s="5">
        <v>12690</v>
      </c>
    </row>
    <row r="477" spans="1:5" ht="14.25" hidden="1" customHeight="1" x14ac:dyDescent="0.3">
      <c r="A477" s="6">
        <v>43982</v>
      </c>
      <c r="B477" s="5" t="s">
        <v>13</v>
      </c>
      <c r="C477" s="5">
        <v>20</v>
      </c>
      <c r="D477" s="5">
        <v>2060</v>
      </c>
      <c r="E477" s="5">
        <v>1826</v>
      </c>
    </row>
    <row r="478" spans="1:5" ht="14.25" hidden="1" customHeight="1" x14ac:dyDescent="0.3">
      <c r="A478" s="6">
        <v>43982</v>
      </c>
      <c r="B478" s="5" t="s">
        <v>23</v>
      </c>
      <c r="C478" s="5">
        <v>18</v>
      </c>
      <c r="D478" s="5">
        <v>1029</v>
      </c>
      <c r="E478" s="5">
        <v>925</v>
      </c>
    </row>
    <row r="479" spans="1:5" ht="14.25" hidden="1" customHeight="1" x14ac:dyDescent="0.3">
      <c r="A479" s="6">
        <v>43982</v>
      </c>
      <c r="B479" s="5" t="s">
        <v>18</v>
      </c>
      <c r="C479" s="5">
        <v>17</v>
      </c>
      <c r="D479" s="5">
        <v>1186</v>
      </c>
      <c r="E479" s="5">
        <v>1054</v>
      </c>
    </row>
    <row r="480" spans="1:5" ht="14.25" hidden="1" customHeight="1" x14ac:dyDescent="0.3">
      <c r="A480" s="6">
        <v>43982</v>
      </c>
      <c r="B480" s="5" t="s">
        <v>19</v>
      </c>
      <c r="C480" s="5">
        <v>16</v>
      </c>
      <c r="D480" s="5">
        <v>917</v>
      </c>
      <c r="E480" s="5">
        <v>802</v>
      </c>
    </row>
    <row r="481" spans="1:5" ht="14.25" hidden="1" customHeight="1" x14ac:dyDescent="0.3">
      <c r="A481" s="6">
        <v>43982</v>
      </c>
      <c r="B481" s="5" t="s">
        <v>9</v>
      </c>
      <c r="C481" s="5">
        <v>15</v>
      </c>
      <c r="D481" s="5">
        <v>441</v>
      </c>
      <c r="E481" s="5">
        <v>368</v>
      </c>
    </row>
    <row r="482" spans="1:5" ht="14.25" hidden="1" customHeight="1" x14ac:dyDescent="0.3">
      <c r="A482" s="6">
        <v>43982</v>
      </c>
      <c r="B482" s="5" t="s">
        <v>15</v>
      </c>
      <c r="C482" s="5">
        <v>124</v>
      </c>
      <c r="D482" s="5">
        <v>21392</v>
      </c>
      <c r="E482" s="5">
        <v>19869</v>
      </c>
    </row>
    <row r="483" spans="1:5" ht="14.25" hidden="1" customHeight="1" x14ac:dyDescent="0.3">
      <c r="A483" s="6">
        <v>43982</v>
      </c>
      <c r="B483" s="5" t="s">
        <v>14</v>
      </c>
      <c r="C483" s="5">
        <v>129</v>
      </c>
      <c r="D483" s="5">
        <v>17235</v>
      </c>
      <c r="E483" s="5">
        <v>16052</v>
      </c>
    </row>
    <row r="484" spans="1:5" ht="14.25" hidden="1" customHeight="1" x14ac:dyDescent="0.3">
      <c r="A484" s="6">
        <v>43982</v>
      </c>
      <c r="B484" s="5" t="s">
        <v>12</v>
      </c>
      <c r="C484" s="5">
        <v>10</v>
      </c>
      <c r="D484" s="5">
        <v>749</v>
      </c>
      <c r="E484" s="5">
        <v>655</v>
      </c>
    </row>
    <row r="485" spans="1:5" ht="14.25" hidden="1" customHeight="1" x14ac:dyDescent="0.3">
      <c r="A485" s="6">
        <v>43982</v>
      </c>
      <c r="B485" s="5" t="s">
        <v>25</v>
      </c>
      <c r="C485" s="5">
        <v>9</v>
      </c>
      <c r="D485" s="5">
        <v>345</v>
      </c>
      <c r="E485" s="5">
        <v>255</v>
      </c>
    </row>
    <row r="486" spans="1:5" ht="14.25" hidden="1" customHeight="1" x14ac:dyDescent="0.3">
      <c r="A486" s="6">
        <v>43982</v>
      </c>
      <c r="B486" s="5" t="s">
        <v>24</v>
      </c>
      <c r="C486" s="5">
        <v>7</v>
      </c>
      <c r="D486" s="5">
        <v>530</v>
      </c>
      <c r="E486" s="5">
        <v>447</v>
      </c>
    </row>
    <row r="487" spans="1:5" ht="14.25" hidden="1" customHeight="1" x14ac:dyDescent="0.3">
      <c r="A487" s="6">
        <v>43982</v>
      </c>
      <c r="B487" s="5" t="s">
        <v>26</v>
      </c>
      <c r="C487" s="5">
        <v>6</v>
      </c>
      <c r="D487" s="5">
        <v>261</v>
      </c>
      <c r="E487" s="5">
        <v>188</v>
      </c>
    </row>
    <row r="488" spans="1:5" ht="14.25" hidden="1" customHeight="1" x14ac:dyDescent="0.3">
      <c r="A488" s="6">
        <v>43983</v>
      </c>
      <c r="B488" s="5" t="s">
        <v>16</v>
      </c>
      <c r="C488" s="5">
        <v>37</v>
      </c>
      <c r="D488" s="5">
        <v>4722</v>
      </c>
      <c r="E488" s="5">
        <v>4352</v>
      </c>
    </row>
    <row r="489" spans="1:5" ht="14.25" hidden="1" customHeight="1" x14ac:dyDescent="0.3">
      <c r="A489" s="6">
        <v>43983</v>
      </c>
      <c r="B489" s="5" t="s">
        <v>11</v>
      </c>
      <c r="C489" s="5">
        <v>31</v>
      </c>
      <c r="D489" s="5">
        <v>5468</v>
      </c>
      <c r="E489" s="5">
        <v>5081</v>
      </c>
    </row>
    <row r="490" spans="1:5" ht="14.25" hidden="1" customHeight="1" x14ac:dyDescent="0.3">
      <c r="A490" s="6">
        <v>43983</v>
      </c>
      <c r="B490" s="5" t="s">
        <v>17</v>
      </c>
      <c r="C490" s="5">
        <v>23</v>
      </c>
      <c r="D490" s="5">
        <v>2531</v>
      </c>
      <c r="E490" s="5">
        <v>2296</v>
      </c>
    </row>
    <row r="491" spans="1:5" ht="14.25" hidden="1" customHeight="1" x14ac:dyDescent="0.3">
      <c r="A491" s="6">
        <v>43983</v>
      </c>
      <c r="B491" s="5" t="s">
        <v>10</v>
      </c>
      <c r="C491" s="5">
        <v>21</v>
      </c>
      <c r="D491" s="5">
        <v>2025</v>
      </c>
      <c r="E491" s="5">
        <v>1849</v>
      </c>
    </row>
    <row r="492" spans="1:5" ht="14.25" hidden="1" customHeight="1" x14ac:dyDescent="0.3">
      <c r="A492" s="6">
        <v>43983</v>
      </c>
      <c r="B492" s="5" t="s">
        <v>20</v>
      </c>
      <c r="C492" s="5">
        <v>21</v>
      </c>
      <c r="D492" s="5">
        <v>1879</v>
      </c>
      <c r="E492" s="5">
        <v>1720</v>
      </c>
    </row>
    <row r="493" spans="1:5" ht="14.25" hidden="1" customHeight="1" x14ac:dyDescent="0.3">
      <c r="A493" s="6">
        <v>43983</v>
      </c>
      <c r="B493" s="5" t="s">
        <v>22</v>
      </c>
      <c r="C493" s="5">
        <v>54</v>
      </c>
      <c r="D493" s="5">
        <v>11864</v>
      </c>
      <c r="E493" s="5">
        <v>11071</v>
      </c>
    </row>
    <row r="494" spans="1:5" ht="14.25" hidden="1" customHeight="1" x14ac:dyDescent="0.3">
      <c r="A494" s="6">
        <v>43983</v>
      </c>
      <c r="B494" s="5" t="s">
        <v>21</v>
      </c>
      <c r="C494" s="5">
        <v>59</v>
      </c>
      <c r="D494" s="5">
        <v>12299</v>
      </c>
      <c r="E494" s="5">
        <v>11448</v>
      </c>
    </row>
    <row r="495" spans="1:5" ht="14.25" hidden="1" customHeight="1" x14ac:dyDescent="0.3">
      <c r="A495" s="6">
        <v>43983</v>
      </c>
      <c r="B495" s="5" t="s">
        <v>13</v>
      </c>
      <c r="C495" s="5">
        <v>20</v>
      </c>
      <c r="D495" s="5">
        <v>2136</v>
      </c>
      <c r="E495" s="5">
        <v>1899</v>
      </c>
    </row>
    <row r="496" spans="1:5" ht="14.25" hidden="1" customHeight="1" x14ac:dyDescent="0.3">
      <c r="A496" s="6">
        <v>43983</v>
      </c>
      <c r="B496" s="5" t="s">
        <v>23</v>
      </c>
      <c r="C496" s="5">
        <v>18</v>
      </c>
      <c r="D496" s="5">
        <v>923</v>
      </c>
      <c r="E496" s="5">
        <v>824</v>
      </c>
    </row>
    <row r="497" spans="1:5" ht="14.25" hidden="1" customHeight="1" x14ac:dyDescent="0.3">
      <c r="A497" s="6">
        <v>43983</v>
      </c>
      <c r="B497" s="5" t="s">
        <v>18</v>
      </c>
      <c r="C497" s="5">
        <v>17</v>
      </c>
      <c r="D497" s="5">
        <v>1185</v>
      </c>
      <c r="E497" s="5">
        <v>1042</v>
      </c>
    </row>
    <row r="498" spans="1:5" ht="14.25" hidden="1" customHeight="1" x14ac:dyDescent="0.3">
      <c r="A498" s="6">
        <v>43983</v>
      </c>
      <c r="B498" s="5" t="s">
        <v>19</v>
      </c>
      <c r="C498" s="5">
        <v>16</v>
      </c>
      <c r="D498" s="5">
        <v>1019</v>
      </c>
      <c r="E498" s="5">
        <v>895</v>
      </c>
    </row>
    <row r="499" spans="1:5" ht="14.25" hidden="1" customHeight="1" x14ac:dyDescent="0.3">
      <c r="A499" s="6">
        <v>43983</v>
      </c>
      <c r="B499" s="5" t="s">
        <v>9</v>
      </c>
      <c r="C499" s="5">
        <v>15</v>
      </c>
      <c r="D499" s="5">
        <v>453</v>
      </c>
      <c r="E499" s="5">
        <v>370</v>
      </c>
    </row>
    <row r="500" spans="1:5" ht="14.25" hidden="1" customHeight="1" x14ac:dyDescent="0.3">
      <c r="A500" s="6">
        <v>43983</v>
      </c>
      <c r="B500" s="5" t="s">
        <v>15</v>
      </c>
      <c r="C500" s="5">
        <v>123</v>
      </c>
      <c r="D500" s="5">
        <v>20325</v>
      </c>
      <c r="E500" s="5">
        <v>18935</v>
      </c>
    </row>
    <row r="501" spans="1:5" ht="14.25" hidden="1" customHeight="1" x14ac:dyDescent="0.3">
      <c r="A501" s="6">
        <v>43983</v>
      </c>
      <c r="B501" s="5" t="s">
        <v>14</v>
      </c>
      <c r="C501" s="5">
        <v>128</v>
      </c>
      <c r="D501" s="5">
        <v>16285</v>
      </c>
      <c r="E501" s="5">
        <v>15130</v>
      </c>
    </row>
    <row r="502" spans="1:5" ht="14.25" hidden="1" customHeight="1" x14ac:dyDescent="0.3">
      <c r="A502" s="6">
        <v>43983</v>
      </c>
      <c r="B502" s="5" t="s">
        <v>12</v>
      </c>
      <c r="C502" s="5">
        <v>10</v>
      </c>
      <c r="D502" s="5">
        <v>719</v>
      </c>
      <c r="E502" s="5">
        <v>627</v>
      </c>
    </row>
    <row r="503" spans="1:5" ht="14.25" hidden="1" customHeight="1" x14ac:dyDescent="0.3">
      <c r="A503" s="6">
        <v>43983</v>
      </c>
      <c r="B503" s="5" t="s">
        <v>25</v>
      </c>
      <c r="C503" s="5">
        <v>9</v>
      </c>
      <c r="D503" s="5">
        <v>294</v>
      </c>
      <c r="E503" s="5">
        <v>224</v>
      </c>
    </row>
    <row r="504" spans="1:5" ht="14.25" hidden="1" customHeight="1" x14ac:dyDescent="0.3">
      <c r="A504" s="6">
        <v>43983</v>
      </c>
      <c r="B504" s="5" t="s">
        <v>24</v>
      </c>
      <c r="C504" s="5">
        <v>7</v>
      </c>
      <c r="D504" s="5">
        <v>500</v>
      </c>
      <c r="E504" s="5">
        <v>418</v>
      </c>
    </row>
    <row r="505" spans="1:5" ht="14.25" hidden="1" customHeight="1" x14ac:dyDescent="0.3">
      <c r="A505" s="6">
        <v>43983</v>
      </c>
      <c r="B505" s="5" t="s">
        <v>26</v>
      </c>
      <c r="C505" s="5">
        <v>6</v>
      </c>
      <c r="D505" s="5">
        <v>237</v>
      </c>
      <c r="E505" s="5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505" xr:uid="{00000000-0001-0000-0100-000000000000}">
    <filterColumn colId="0">
      <filters>
        <dateGroupItem year="2020" month="5" day="3" dateTimeGrouping="day"/>
      </filters>
    </filterColumn>
    <filterColumn colId="1">
      <filters>
        <filter val="Кемерово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7D4D-A9C3-48B2-A135-10E845676411}">
  <dimension ref="A1:J29"/>
  <sheetViews>
    <sheetView tabSelected="1" workbookViewId="0">
      <selection activeCell="B3" sqref="B3"/>
    </sheetView>
  </sheetViews>
  <sheetFormatPr defaultRowHeight="14.4" x14ac:dyDescent="0.3"/>
  <cols>
    <col min="1" max="1" width="21.5546875" bestFit="1" customWidth="1"/>
    <col min="2" max="2" width="15" style="13" bestFit="1" customWidth="1"/>
    <col min="3" max="3" width="14.6640625" bestFit="1" customWidth="1"/>
    <col min="4" max="4" width="25.6640625" bestFit="1" customWidth="1"/>
    <col min="5" max="5" width="20.88671875" bestFit="1" customWidth="1"/>
    <col min="6" max="6" width="21" bestFit="1" customWidth="1"/>
    <col min="7" max="7" width="36.6640625" style="13" bestFit="1" customWidth="1"/>
    <col min="8" max="8" width="20.88671875" bestFit="1" customWidth="1"/>
    <col min="9" max="9" width="21" bestFit="1" customWidth="1"/>
    <col min="10" max="10" width="37.77734375" bestFit="1" customWidth="1"/>
    <col min="11" max="11" width="22" bestFit="1" customWidth="1"/>
  </cols>
  <sheetData>
    <row r="1" spans="1:10" x14ac:dyDescent="0.3">
      <c r="A1" s="35" t="s">
        <v>39</v>
      </c>
      <c r="B1" s="35"/>
      <c r="C1" s="35"/>
      <c r="D1" s="35"/>
      <c r="F1" s="35" t="s">
        <v>36</v>
      </c>
      <c r="G1" s="35"/>
      <c r="I1" s="36" t="s">
        <v>37</v>
      </c>
      <c r="J1" s="36"/>
    </row>
    <row r="3" spans="1:10" x14ac:dyDescent="0.3">
      <c r="A3" s="7" t="s">
        <v>34</v>
      </c>
      <c r="B3" s="13" t="s">
        <v>30</v>
      </c>
      <c r="C3" t="s">
        <v>31</v>
      </c>
      <c r="D3" t="s">
        <v>32</v>
      </c>
      <c r="F3" s="31" t="s">
        <v>1</v>
      </c>
      <c r="G3" s="37" t="s">
        <v>35</v>
      </c>
      <c r="I3" s="31" t="s">
        <v>1</v>
      </c>
      <c r="J3" s="33" t="s">
        <v>38</v>
      </c>
    </row>
    <row r="4" spans="1:10" x14ac:dyDescent="0.3">
      <c r="A4" s="8">
        <v>18</v>
      </c>
      <c r="B4" s="13">
        <v>836803032</v>
      </c>
      <c r="C4" s="32">
        <v>3354</v>
      </c>
      <c r="D4" s="14">
        <v>0.1629458929042947</v>
      </c>
      <c r="F4" s="8" t="s">
        <v>22</v>
      </c>
      <c r="G4" s="14">
        <v>0.14799166939913513</v>
      </c>
      <c r="I4" s="8" t="s">
        <v>22</v>
      </c>
      <c r="J4" s="14">
        <v>0.1257206216052015</v>
      </c>
    </row>
    <row r="5" spans="1:10" x14ac:dyDescent="0.3">
      <c r="A5" s="8">
        <v>19</v>
      </c>
      <c r="B5" s="13">
        <v>983915409.85664999</v>
      </c>
      <c r="C5" s="32">
        <v>3977</v>
      </c>
      <c r="D5" s="14">
        <v>0.19283528282899751</v>
      </c>
      <c r="F5" s="8" t="s">
        <v>21</v>
      </c>
      <c r="G5" s="14">
        <v>0.14107897228020569</v>
      </c>
      <c r="I5" s="8" t="s">
        <v>21</v>
      </c>
      <c r="J5" s="14">
        <v>0.11841947631209104</v>
      </c>
    </row>
    <row r="6" spans="1:10" x14ac:dyDescent="0.3">
      <c r="A6" s="8">
        <v>20</v>
      </c>
      <c r="B6" s="13">
        <v>947263006.72395003</v>
      </c>
      <c r="C6" s="32">
        <v>3994</v>
      </c>
      <c r="D6" s="14">
        <v>0.18951755946320306</v>
      </c>
      <c r="F6" s="8" t="s">
        <v>15</v>
      </c>
      <c r="G6" s="14">
        <v>0.11984748486101554</v>
      </c>
      <c r="I6" s="8" t="s">
        <v>15</v>
      </c>
      <c r="J6" s="14">
        <v>0.10872389257682011</v>
      </c>
    </row>
    <row r="7" spans="1:10" x14ac:dyDescent="0.3">
      <c r="A7" s="8">
        <v>21</v>
      </c>
      <c r="B7" s="13">
        <v>1002691883.0466</v>
      </c>
      <c r="C7" s="32">
        <v>4020</v>
      </c>
      <c r="D7" s="14">
        <v>0.20303121743769656</v>
      </c>
    </row>
    <row r="8" spans="1:10" x14ac:dyDescent="0.3">
      <c r="A8" s="8">
        <v>22</v>
      </c>
      <c r="B8" s="13">
        <v>1055653508.75385</v>
      </c>
      <c r="C8" s="32">
        <v>4151</v>
      </c>
      <c r="D8" s="14">
        <v>0.22150604113355415</v>
      </c>
      <c r="I8" s="7" t="s">
        <v>8</v>
      </c>
      <c r="J8" s="8">
        <v>23</v>
      </c>
    </row>
    <row r="9" spans="1:10" x14ac:dyDescent="0.3">
      <c r="A9" s="8">
        <v>23</v>
      </c>
      <c r="B9" s="13">
        <v>136032376.68134999</v>
      </c>
      <c r="C9" s="32">
        <v>615</v>
      </c>
      <c r="D9" s="14">
        <v>3.0164006232254119E-2</v>
      </c>
    </row>
    <row r="10" spans="1:10" x14ac:dyDescent="0.3">
      <c r="A10" s="8" t="s">
        <v>27</v>
      </c>
      <c r="B10" s="13">
        <v>4962359217.0623999</v>
      </c>
      <c r="C10" s="32">
        <v>20111</v>
      </c>
      <c r="D10" s="14">
        <v>1</v>
      </c>
      <c r="F10" s="7" t="s">
        <v>1</v>
      </c>
      <c r="G10" s="13" t="s">
        <v>29</v>
      </c>
      <c r="I10" s="7" t="s">
        <v>1</v>
      </c>
      <c r="J10" s="13" t="s">
        <v>29</v>
      </c>
    </row>
    <row r="11" spans="1:10" x14ac:dyDescent="0.3">
      <c r="B11"/>
      <c r="F11" s="8" t="s">
        <v>22</v>
      </c>
      <c r="G11" s="14">
        <v>0.14799166939913513</v>
      </c>
      <c r="I11" s="8" t="s">
        <v>22</v>
      </c>
      <c r="J11" s="14">
        <v>0.1257206216052015</v>
      </c>
    </row>
    <row r="12" spans="1:10" x14ac:dyDescent="0.3">
      <c r="B12"/>
      <c r="F12" s="8" t="s">
        <v>21</v>
      </c>
      <c r="G12" s="14">
        <v>0.14107897228020569</v>
      </c>
      <c r="I12" s="8" t="s">
        <v>21</v>
      </c>
      <c r="J12" s="14">
        <v>0.11841947631209104</v>
      </c>
    </row>
    <row r="13" spans="1:10" x14ac:dyDescent="0.3">
      <c r="B13"/>
      <c r="F13" s="8" t="s">
        <v>15</v>
      </c>
      <c r="G13" s="14">
        <v>0.11984748486101554</v>
      </c>
      <c r="I13" s="8" t="s">
        <v>15</v>
      </c>
      <c r="J13" s="14">
        <v>0.10872389257682011</v>
      </c>
    </row>
    <row r="14" spans="1:10" x14ac:dyDescent="0.3">
      <c r="B14"/>
      <c r="F14" s="8" t="s">
        <v>14</v>
      </c>
      <c r="G14" s="14">
        <v>8.6975418863033824E-2</v>
      </c>
      <c r="I14" s="8" t="s">
        <v>11</v>
      </c>
      <c r="J14" s="14">
        <v>7.9079961111056002E-2</v>
      </c>
    </row>
    <row r="15" spans="1:10" x14ac:dyDescent="0.3">
      <c r="B15"/>
      <c r="F15" s="8" t="s">
        <v>11</v>
      </c>
      <c r="G15" s="14">
        <v>8.501124865229305E-2</v>
      </c>
      <c r="I15" s="8" t="s">
        <v>14</v>
      </c>
      <c r="J15" s="14">
        <v>7.7871723255099903E-2</v>
      </c>
    </row>
    <row r="16" spans="1:10" x14ac:dyDescent="0.3">
      <c r="B16"/>
      <c r="F16" s="8" t="s">
        <v>16</v>
      </c>
      <c r="G16" s="14">
        <v>6.5280235799404771E-2</v>
      </c>
      <c r="I16" s="8" t="s">
        <v>17</v>
      </c>
      <c r="J16" s="14">
        <v>6.0320133488443527E-2</v>
      </c>
    </row>
    <row r="17" spans="2:10" x14ac:dyDescent="0.3">
      <c r="B17"/>
      <c r="F17" s="8" t="s">
        <v>17</v>
      </c>
      <c r="G17" s="14">
        <v>6.2351325848440935E-2</v>
      </c>
      <c r="I17" s="8" t="s">
        <v>16</v>
      </c>
      <c r="J17" s="14">
        <v>5.6267861844101867E-2</v>
      </c>
    </row>
    <row r="18" spans="2:10" x14ac:dyDescent="0.3">
      <c r="B18"/>
      <c r="F18" s="8" t="s">
        <v>10</v>
      </c>
      <c r="G18" s="14">
        <v>5.4340640021060468E-2</v>
      </c>
      <c r="I18" s="8" t="s">
        <v>13</v>
      </c>
      <c r="J18" s="14">
        <v>5.4082325578696029E-2</v>
      </c>
    </row>
    <row r="19" spans="2:10" x14ac:dyDescent="0.3">
      <c r="B19"/>
      <c r="F19" s="8" t="s">
        <v>13</v>
      </c>
      <c r="G19" s="14">
        <v>5.3712588490720498E-2</v>
      </c>
      <c r="I19" s="8" t="s">
        <v>10</v>
      </c>
      <c r="J19" s="14">
        <v>5.0336575730155139E-2</v>
      </c>
    </row>
    <row r="20" spans="2:10" x14ac:dyDescent="0.3">
      <c r="B20"/>
      <c r="F20" s="8" t="s">
        <v>20</v>
      </c>
      <c r="G20" s="14">
        <v>4.8334541056485415E-2</v>
      </c>
      <c r="I20" s="8" t="s">
        <v>20</v>
      </c>
      <c r="J20" s="14">
        <v>4.339605748051345E-2</v>
      </c>
    </row>
    <row r="21" spans="2:10" x14ac:dyDescent="0.3">
      <c r="B21"/>
      <c r="F21" s="8" t="s">
        <v>12</v>
      </c>
      <c r="G21" s="14">
        <v>3.5953276021923726E-2</v>
      </c>
      <c r="I21" s="8" t="s">
        <v>24</v>
      </c>
      <c r="J21" s="14">
        <v>4.1146321685993595E-2</v>
      </c>
    </row>
    <row r="22" spans="2:10" x14ac:dyDescent="0.3">
      <c r="B22"/>
      <c r="F22" s="8" t="s">
        <v>18</v>
      </c>
      <c r="G22" s="14">
        <v>3.33460586489112E-2</v>
      </c>
      <c r="I22" s="8" t="s">
        <v>12</v>
      </c>
      <c r="J22" s="14">
        <v>3.6171105967606094E-2</v>
      </c>
    </row>
    <row r="23" spans="2:10" x14ac:dyDescent="0.3">
      <c r="B23"/>
      <c r="F23" s="8" t="s">
        <v>23</v>
      </c>
      <c r="G23" s="14">
        <v>2.7152761413912884E-2</v>
      </c>
      <c r="I23" s="8" t="s">
        <v>19</v>
      </c>
      <c r="J23" s="14">
        <v>3.5122245490306576E-2</v>
      </c>
    </row>
    <row r="24" spans="2:10" x14ac:dyDescent="0.3">
      <c r="B24"/>
      <c r="F24" s="8" t="s">
        <v>19</v>
      </c>
      <c r="G24" s="14">
        <v>2.4800868664154613E-2</v>
      </c>
      <c r="I24" s="8" t="s">
        <v>18</v>
      </c>
      <c r="J24" s="14">
        <v>3.2232291612774015E-2</v>
      </c>
    </row>
    <row r="25" spans="2:10" x14ac:dyDescent="0.3">
      <c r="B25"/>
      <c r="F25" s="8" t="s">
        <v>24</v>
      </c>
      <c r="G25" s="14">
        <v>8.7606961258772844E-3</v>
      </c>
      <c r="I25" s="8" t="s">
        <v>23</v>
      </c>
      <c r="J25" s="14">
        <v>2.5787663844472532E-2</v>
      </c>
    </row>
    <row r="26" spans="2:10" x14ac:dyDescent="0.3">
      <c r="B26"/>
      <c r="F26" s="8" t="s">
        <v>9</v>
      </c>
      <c r="G26" s="14">
        <v>2.412650453191291E-3</v>
      </c>
      <c r="I26" s="8" t="s">
        <v>26</v>
      </c>
      <c r="J26" s="14">
        <v>2.4580395367798508E-2</v>
      </c>
    </row>
    <row r="27" spans="2:10" x14ac:dyDescent="0.3">
      <c r="B27"/>
      <c r="F27" s="8" t="s">
        <v>26</v>
      </c>
      <c r="G27" s="14">
        <v>1.5874438341606399E-3</v>
      </c>
      <c r="I27" s="8" t="s">
        <v>25</v>
      </c>
      <c r="J27" s="14">
        <v>1.5514366051117084E-2</v>
      </c>
    </row>
    <row r="28" spans="2:10" x14ac:dyDescent="0.3">
      <c r="B28"/>
      <c r="F28" s="8" t="s">
        <v>25</v>
      </c>
      <c r="G28" s="14">
        <v>1.0621195660727772E-3</v>
      </c>
      <c r="I28" s="8" t="s">
        <v>9</v>
      </c>
      <c r="J28" s="14">
        <v>1.522698099775293E-2</v>
      </c>
    </row>
    <row r="29" spans="2:10" x14ac:dyDescent="0.3">
      <c r="F29" s="8" t="s">
        <v>27</v>
      </c>
      <c r="G29" s="14">
        <v>1</v>
      </c>
      <c r="I29" s="8" t="s">
        <v>27</v>
      </c>
      <c r="J29" s="14">
        <v>1</v>
      </c>
    </row>
  </sheetData>
  <mergeCells count="3">
    <mergeCell ref="F1:G1"/>
    <mergeCell ref="I1:J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FF3-622A-434A-9C9B-177440055D68}">
  <dimension ref="A1:C114"/>
  <sheetViews>
    <sheetView workbookViewId="0">
      <selection activeCell="C24" sqref="C24"/>
    </sheetView>
  </sheetViews>
  <sheetFormatPr defaultRowHeight="14.4" x14ac:dyDescent="0.3"/>
  <cols>
    <col min="1" max="1" width="21" bestFit="1" customWidth="1"/>
    <col min="2" max="2" width="20.33203125" style="13" customWidth="1"/>
    <col min="3" max="3" width="26.109375" customWidth="1"/>
  </cols>
  <sheetData>
    <row r="1" spans="1:3" x14ac:dyDescent="0.3">
      <c r="A1" s="7" t="s">
        <v>8</v>
      </c>
      <c r="B1" s="13" t="s">
        <v>33</v>
      </c>
    </row>
    <row r="3" spans="1:3" x14ac:dyDescent="0.3">
      <c r="A3" s="7" t="s">
        <v>28</v>
      </c>
      <c r="B3" s="34" t="s">
        <v>30</v>
      </c>
      <c r="C3" s="38" t="s">
        <v>35</v>
      </c>
    </row>
    <row r="4" spans="1:3" x14ac:dyDescent="0.3">
      <c r="A4" s="8" t="s">
        <v>15</v>
      </c>
      <c r="B4" s="13">
        <v>1380723900.7513499</v>
      </c>
      <c r="C4" s="14">
        <v>0.11984748486101554</v>
      </c>
    </row>
    <row r="5" spans="1:3" x14ac:dyDescent="0.3">
      <c r="A5" s="8" t="s">
        <v>14</v>
      </c>
      <c r="B5" s="13">
        <v>1035612381.8110501</v>
      </c>
      <c r="C5" s="14">
        <v>8.6975418863033824E-2</v>
      </c>
    </row>
    <row r="6" spans="1:3" x14ac:dyDescent="0.3">
      <c r="A6" s="8" t="s">
        <v>21</v>
      </c>
      <c r="B6" s="13">
        <v>774146953.5</v>
      </c>
      <c r="C6" s="14">
        <v>0.14107897228020569</v>
      </c>
    </row>
    <row r="7" spans="1:3" x14ac:dyDescent="0.3">
      <c r="A7" s="8" t="s">
        <v>22</v>
      </c>
      <c r="B7" s="13">
        <v>738124428</v>
      </c>
      <c r="C7" s="14">
        <v>0.14799166939913513</v>
      </c>
    </row>
    <row r="8" spans="1:3" x14ac:dyDescent="0.3">
      <c r="A8" s="8" t="s">
        <v>11</v>
      </c>
      <c r="B8" s="13">
        <v>243409003.5</v>
      </c>
      <c r="C8" s="14">
        <v>8.501124865229305E-2</v>
      </c>
    </row>
    <row r="9" spans="1:3" x14ac:dyDescent="0.3">
      <c r="A9" s="8" t="s">
        <v>16</v>
      </c>
      <c r="B9" s="13">
        <v>218000127</v>
      </c>
      <c r="C9" s="14">
        <v>6.5280235799404771E-2</v>
      </c>
    </row>
    <row r="10" spans="1:3" x14ac:dyDescent="0.3">
      <c r="A10" s="8" t="s">
        <v>17</v>
      </c>
      <c r="B10" s="13">
        <v>120582837</v>
      </c>
      <c r="C10" s="14">
        <v>6.2351325848440935E-2</v>
      </c>
    </row>
    <row r="11" spans="1:3" x14ac:dyDescent="0.3">
      <c r="A11" s="8" t="s">
        <v>10</v>
      </c>
      <c r="B11" s="13">
        <v>101673535.5</v>
      </c>
      <c r="C11" s="14">
        <v>5.4340640021060468E-2</v>
      </c>
    </row>
    <row r="12" spans="1:3" x14ac:dyDescent="0.3">
      <c r="A12" s="8" t="s">
        <v>13</v>
      </c>
      <c r="B12" s="13">
        <v>95592298.5</v>
      </c>
      <c r="C12" s="14">
        <v>5.3712588490720498E-2</v>
      </c>
    </row>
    <row r="13" spans="1:3" x14ac:dyDescent="0.3">
      <c r="A13" s="8" t="s">
        <v>20</v>
      </c>
      <c r="B13" s="13">
        <v>85862581.5</v>
      </c>
      <c r="C13" s="14">
        <v>4.8334541056485415E-2</v>
      </c>
    </row>
    <row r="14" spans="1:3" x14ac:dyDescent="0.3">
      <c r="A14" s="8" t="s">
        <v>18</v>
      </c>
      <c r="B14" s="13">
        <v>48803040</v>
      </c>
      <c r="C14" s="14">
        <v>3.33460586489112E-2</v>
      </c>
    </row>
    <row r="15" spans="1:3" x14ac:dyDescent="0.3">
      <c r="A15" s="8" t="s">
        <v>23</v>
      </c>
      <c r="B15" s="13">
        <v>41034630</v>
      </c>
      <c r="C15" s="14">
        <v>2.7152761413912884E-2</v>
      </c>
    </row>
    <row r="16" spans="1:3" x14ac:dyDescent="0.3">
      <c r="A16" s="8" t="s">
        <v>19</v>
      </c>
      <c r="B16" s="13">
        <v>34816548</v>
      </c>
      <c r="C16" s="14">
        <v>2.4800868664154613E-2</v>
      </c>
    </row>
    <row r="17" spans="1:3" x14ac:dyDescent="0.3">
      <c r="A17" s="8" t="s">
        <v>12</v>
      </c>
      <c r="B17" s="13">
        <v>33207564</v>
      </c>
      <c r="C17" s="14">
        <v>3.5953276021923726E-2</v>
      </c>
    </row>
    <row r="18" spans="1:3" x14ac:dyDescent="0.3">
      <c r="A18" s="8" t="s">
        <v>24</v>
      </c>
      <c r="B18" s="13">
        <v>5664156</v>
      </c>
      <c r="C18" s="14">
        <v>8.7606961258772844E-3</v>
      </c>
    </row>
    <row r="19" spans="1:3" x14ac:dyDescent="0.3">
      <c r="A19" s="8" t="s">
        <v>9</v>
      </c>
      <c r="B19" s="13">
        <v>3342598.5</v>
      </c>
      <c r="C19" s="14">
        <v>2.412650453191291E-3</v>
      </c>
    </row>
    <row r="20" spans="1:3" x14ac:dyDescent="0.3">
      <c r="A20" s="8" t="s">
        <v>25</v>
      </c>
      <c r="B20" s="13">
        <v>882906</v>
      </c>
      <c r="C20" s="14">
        <v>1.0621195660727772E-3</v>
      </c>
    </row>
    <row r="21" spans="1:3" x14ac:dyDescent="0.3">
      <c r="A21" s="8" t="s">
        <v>26</v>
      </c>
      <c r="B21" s="13">
        <v>879727.5</v>
      </c>
      <c r="C21" s="14">
        <v>1.5874438341606399E-3</v>
      </c>
    </row>
    <row r="22" spans="1:3" x14ac:dyDescent="0.3">
      <c r="A22" s="8" t="s">
        <v>27</v>
      </c>
      <c r="B22" s="13">
        <v>4962359217.0623999</v>
      </c>
      <c r="C22" s="14">
        <v>1</v>
      </c>
    </row>
    <row r="23" spans="1:3" x14ac:dyDescent="0.3">
      <c r="B23"/>
    </row>
    <row r="24" spans="1:3" x14ac:dyDescent="0.3">
      <c r="B24"/>
    </row>
    <row r="25" spans="1:3" x14ac:dyDescent="0.3">
      <c r="B25"/>
    </row>
    <row r="26" spans="1:3" x14ac:dyDescent="0.3">
      <c r="B26"/>
    </row>
    <row r="27" spans="1:3" x14ac:dyDescent="0.3">
      <c r="B27"/>
    </row>
    <row r="28" spans="1:3" x14ac:dyDescent="0.3">
      <c r="B28"/>
    </row>
    <row r="29" spans="1:3" x14ac:dyDescent="0.3">
      <c r="B29"/>
    </row>
    <row r="30" spans="1:3" x14ac:dyDescent="0.3">
      <c r="B30"/>
    </row>
    <row r="31" spans="1:3" x14ac:dyDescent="0.3">
      <c r="B31"/>
    </row>
    <row r="32" spans="1:3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Таблица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Assel Prmanova</cp:lastModifiedBy>
  <dcterms:created xsi:type="dcterms:W3CDTF">2021-09-13T10:17:58Z</dcterms:created>
  <dcterms:modified xsi:type="dcterms:W3CDTF">2026-04-11T09:05:50Z</dcterms:modified>
</cp:coreProperties>
</file>